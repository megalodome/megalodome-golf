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ver" sheetId="1" state="visible" r:id="rId3"/>
    <sheet name="Assumptions" sheetId="2" state="visible" r:id="rId4"/>
    <sheet name="Revenue Build" sheetId="3" state="visible" r:id="rId5"/>
    <sheet name="P&amp;L" sheetId="4" state="visible" r:id="rId6"/>
    <sheet name="Debt &amp; Capital" sheetId="5" state="visible" r:id="rId7"/>
    <sheet name="Returns"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Fall 2027 partial-year open. KEY RISK lever. Business plan recommends stress-testing 35% / 50% / 70%.</t>
        </r>
      </text>
    </comment>
    <comment ref="C8" authorId="0">
      <text>
        <r>
          <rPr>
            <sz val="10"/>
            <rFont val="Arial"/>
            <family val="2"/>
          </rPr>
          <t xml:space="preserve">Blended price escalation per model FY2029–2031.</t>
        </r>
      </text>
    </comment>
    <comment ref="C12" authorId="0">
      <text>
        <r>
          <rPr>
            <sz val="10"/>
            <rFont val="Arial"/>
            <family val="2"/>
          </rPr>
          <t xml:space="preserve">Implied from model: ~164,000 player-rounds/yr at capacity.</t>
        </r>
      </text>
    </comment>
    <comment ref="C13" authorId="0">
      <text>
        <r>
          <rPr>
            <sz val="10"/>
            <rFont val="Arial"/>
            <family val="2"/>
          </rPr>
          <t xml:space="preserve">Summary tab blended occupancy.</t>
        </r>
      </text>
    </comment>
    <comment ref="C14" authorId="0">
      <text>
        <r>
          <rPr>
            <sz val="10"/>
            <rFont val="Arial"/>
            <family val="2"/>
          </rPr>
          <t xml:space="preserve">Seasonal blended $65–$135.</t>
        </r>
      </text>
    </comment>
    <comment ref="C18" authorId="0">
      <text>
        <r>
          <rPr>
            <sz val="10"/>
            <rFont val="Arial"/>
            <family val="2"/>
          </rPr>
          <t xml:space="preserve">50 stalls across morning/day/evening blocks.</t>
        </r>
      </text>
    </comment>
    <comment ref="C23" authorId="0">
      <text>
        <r>
          <rPr>
            <sz val="10"/>
            <rFont val="Arial"/>
            <family val="2"/>
          </rPr>
          <t xml:space="preserve">Summary FY2028 other income.</t>
        </r>
      </text>
    </comment>
    <comment ref="C35" authorId="0">
      <text>
        <r>
          <rPr>
            <sz val="10"/>
            <rFont val="Arial"/>
            <family val="2"/>
          </rPr>
          <t xml:space="preserve">Indicative; no lender term sheet yet (business plan gap).</t>
        </r>
      </text>
    </comment>
    <comment ref="C42" authorId="0">
      <text>
        <r>
          <rPr>
            <sz val="10"/>
            <rFont val="Arial"/>
            <family val="2"/>
          </rPr>
          <t xml:space="preserve">Industry-typical for stabilized rec/hospitality. KEY return lever.</t>
        </r>
      </text>
    </comment>
    <comment ref="C43" authorId="0">
      <text>
        <r>
          <rPr>
            <sz val="10"/>
            <rFont val="Arial"/>
            <family val="2"/>
          </rPr>
          <t xml:space="preserve">FY2031 LT debt $19.08M less cash $15.11M per model.</t>
        </r>
      </text>
    </comment>
    <comment ref="D30" authorId="0">
      <text>
        <r>
          <rPr>
            <sz val="10"/>
            <rFont val="Arial"/>
            <family val="2"/>
          </rPr>
          <t xml:space="preserve">Model D&amp;A schedule.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F29" authorId="0">
      <text>
        <r>
          <rPr>
            <sz val="10"/>
            <rFont val="Arial"/>
            <family val="2"/>
          </rPr>
          <t xml:space="preserve">Principal starts ~month 27 per model; refinance contemplated after Yr 4.</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E16" authorId="0">
      <text>
        <r>
          <rPr>
            <sz val="10"/>
            <rFont val="Arial"/>
            <family val="2"/>
          </rPr>
          <t xml:space="preserve">Profit-share to Class B per model ROI tab (escalating share to 70%).</t>
        </r>
      </text>
    </comment>
  </commentList>
</comments>
</file>

<file path=xl/sharedStrings.xml><?xml version="1.0" encoding="utf-8"?>
<sst xmlns="http://schemas.openxmlformats.org/spreadsheetml/2006/main" count="257" uniqueCount="196">
  <si>
    <t xml:space="preserve">MEGALODOME GOLF — CHICAGO WEST</t>
  </si>
  <si>
    <t xml:space="preserve">Investor Pro-Forma  ·  Megalodome Golf Equity Fund I</t>
  </si>
  <si>
    <t xml:space="preserve">Flagship — Oswego, Illinois (≈45 mi west of downtown Chicago)</t>
  </si>
  <si>
    <t xml:space="preserve">  HEADLINE TERMS (NEW STRUCTURE — illustrative, pending counsel)</t>
  </si>
  <si>
    <t xml:space="preserve">Total project capitalization</t>
  </si>
  <si>
    <t xml:space="preserve">$77.0M</t>
  </si>
  <si>
    <t xml:space="preserve">Equity raise (3 tranches)</t>
  </si>
  <si>
    <t xml:space="preserve">$25.0M  ·  Fund $10M / Membership $10M / Outside $5M</t>
  </si>
  <si>
    <t xml:space="preserve">Debt</t>
  </si>
  <si>
    <t xml:space="preserve">$52.0M  ·  $40M bank @ 8.40% + $12M lease @ 8.50%</t>
  </si>
  <si>
    <t xml:space="preserve">Preferred return (Fund + Membership)</t>
  </si>
  <si>
    <t xml:space="preserve">10% p.a., cumulative, non-compounded</t>
  </si>
  <si>
    <t xml:space="preserve">Above-pref split (Manager / investor pool)</t>
  </si>
  <si>
    <t xml:space="preserve">50% / 50%</t>
  </si>
  <si>
    <t xml:space="preserve">Outside direct equity</t>
  </si>
  <si>
    <t xml:space="preserve">15% of Chicago West</t>
  </si>
  <si>
    <t xml:space="preserve">Modeled blended investor IRR (5-yr)</t>
  </si>
  <si>
    <t xml:space="preserve">Modeled blended investor MOIC</t>
  </si>
  <si>
    <t xml:space="preserve">Exit basis / target opening</t>
  </si>
  <si>
    <t xml:space="preserve">Yr-5 EBITDA × 9.0x, net of debt  ·  Fall 2027</t>
  </si>
  <si>
    <t xml:space="preserve">  HOW TO USE THIS MODEL</t>
  </si>
  <si>
    <t xml:space="preserve">•  Blue figures are inputs you can change; black figures are formulas that recalculate.</t>
  </si>
  <si>
    <t xml:space="preserve">•  Green figures are links pulling from another tab in this workbook.</t>
  </si>
  <si>
    <t xml:space="preserve">•  Change any blue assumption (occupancy, price, exit multiple) and Returns + Sensitivity update automatically.</t>
  </si>
  <si>
    <t xml:space="preserve">•  The two levers that move returns most — Year-5 EBITDA and exit multiple — flow live to IRR and MOIC.</t>
  </si>
  <si>
    <t xml:space="preserve">•  Figures reflect the restructured capital stack; equity-waterfall splits are illustrative and subject to amended offering documents (Bond Conway) before investor use.</t>
  </si>
  <si>
    <t xml:space="preserve">CONFIDENTIAL — FOR ACCREDITED INVESTORS ONLY. This pro-forma contains forward-looking projections that are estimates, not guarantees; actual results will differ. It is not an offer to sell or a solicitation to buy any security. Any offering is made solely through the Confidential Private Placement Memorandum of Megalodome Golf Equity Fund I LLC and its subscription documents under Rule 506(c) of Regulation D. Targeted returns are modeled and depend on assumptions stated herein, several of which remain to be finalized (debt terms, Year-1 occupancy ramp, exit multiple). Consult your own legal, tax and financial advisors.</t>
  </si>
  <si>
    <t xml:space="preserve">ASSUMPTIONS  —  all blue cells are inputs</t>
  </si>
  <si>
    <t xml:space="preserve">Source anchor: Megalodome Chicago West Financial Model, 03/30/2026</t>
  </si>
  <si>
    <t xml:space="preserve">  OPERATING CALENDAR</t>
  </si>
  <si>
    <t xml:space="preserve">Spring / Summer operating days (Apr–Sep)</t>
  </si>
  <si>
    <t xml:space="preserve">Fall / Winter operating days (Oct–Mar)</t>
  </si>
  <si>
    <t xml:space="preserve">Year-1 (FY2027) revenue realization — partial year / ramp</t>
  </si>
  <si>
    <t xml:space="preserve">Annual price / revenue growth (FY2029+)</t>
  </si>
  <si>
    <t xml:space="preserve">  GREEN FEES — course play</t>
  </si>
  <si>
    <t xml:space="preserve">Spring/Summer</t>
  </si>
  <si>
    <t xml:space="preserve">Fall/Winter</t>
  </si>
  <si>
    <t xml:space="preserve">Capacity — players / day at 100%</t>
  </si>
  <si>
    <t xml:space="preserve">Average occupancy</t>
  </si>
  <si>
    <t xml:space="preserve">Average green fee</t>
  </si>
  <si>
    <t xml:space="preserve">  PRACTICE FACILITY — range / simulators / short game</t>
  </si>
  <si>
    <t xml:space="preserve">Capacity — player-sessions / day at 100%</t>
  </si>
  <si>
    <t xml:space="preserve">Average price / session</t>
  </si>
  <si>
    <t xml:space="preserve">  OTHER INCOME &amp; COST STRUCTURE</t>
  </si>
  <si>
    <t xml:space="preserve">Other income — FY2028 base (F&amp;B, pro shop, banquet, naming)</t>
  </si>
  <si>
    <t xml:space="preserve">Other income — FY2027 (partial)</t>
  </si>
  <si>
    <t xml:space="preserve">Operating + administrative expense (% of revenue, per year)</t>
  </si>
  <si>
    <t xml:space="preserve">2026</t>
  </si>
  <si>
    <t xml:space="preserve">2027</t>
  </si>
  <si>
    <t xml:space="preserve">2028</t>
  </si>
  <si>
    <t xml:space="preserve">2029</t>
  </si>
  <si>
    <t xml:space="preserve">2030</t>
  </si>
  <si>
    <t xml:space="preserve">2031</t>
  </si>
  <si>
    <t xml:space="preserve">Operating expense % of revenue</t>
  </si>
  <si>
    <t xml:space="preserve">Administrative expense % of revenue</t>
  </si>
  <si>
    <t xml:space="preserve">Depreciation &amp; amortization ($)</t>
  </si>
  <si>
    <t xml:space="preserve">  CAPITAL STACK &amp; FINANCING</t>
  </si>
  <si>
    <t xml:space="preserve">Fund equity — Class B preferred (Reg D 506(c))</t>
  </si>
  <si>
    <t xml:space="preserve">Membership equity — founding members</t>
  </si>
  <si>
    <t xml:space="preserve">Outside equity — direct stake in Chicago West opco</t>
  </si>
  <si>
    <t xml:space="preserve">Total equity</t>
  </si>
  <si>
    <t xml:space="preserve">Bank senior term loan — principal</t>
  </si>
  <si>
    <t xml:space="preserve">Bank senior loan interest rate</t>
  </si>
  <si>
    <t xml:space="preserve">Equipment / leasing facility — principal</t>
  </si>
  <si>
    <t xml:space="preserve">Leasing facility interest rate</t>
  </si>
  <si>
    <t xml:space="preserve">Leasing facility term (years, amortizing)</t>
  </si>
  <si>
    <t xml:space="preserve">Total debt</t>
  </si>
  <si>
    <t xml:space="preserve">  RETURN &amp; WATERFALL TERMS</t>
  </si>
  <si>
    <t xml:space="preserve">Preferred return rate (Fund + Membership pool)</t>
  </si>
  <si>
    <t xml:space="preserve">Above-pref split — investor pool (Fund + Membership)</t>
  </si>
  <si>
    <t xml:space="preserve">Above-pref split — Manager (Class A)</t>
  </si>
  <si>
    <t xml:space="preserve">Outside equity — direct share of Chicago West</t>
  </si>
  <si>
    <t xml:space="preserve">  DERIVED EXIT-EQUITY SHARES</t>
  </si>
  <si>
    <t xml:space="preserve">Fund — share of Chicago West</t>
  </si>
  <si>
    <t xml:space="preserve">Membership — share of Chicago West</t>
  </si>
  <si>
    <t xml:space="preserve">Strategic/Outside — share of Chicago West</t>
  </si>
  <si>
    <t xml:space="preserve">MEGALODOME GOLF USA INC. (Manager) — share</t>
  </si>
  <si>
    <t xml:space="preserve">Total (check = 100%)</t>
  </si>
  <si>
    <t xml:space="preserve">  EXIT ASSUMPTIONS</t>
  </si>
  <si>
    <t xml:space="preserve">Exit year</t>
  </si>
  <si>
    <t xml:space="preserve">Exit EBITDA multiple</t>
  </si>
  <si>
    <t xml:space="preserve">Gross debt at exit (FY2031)</t>
  </si>
  <si>
    <t xml:space="preserve">Less: exit cash offset (modeled — conservative)</t>
  </si>
  <si>
    <t xml:space="preserve">Net debt at exit</t>
  </si>
  <si>
    <t xml:space="preserve">Fund unit structure</t>
  </si>
  <si>
    <t xml:space="preserve">500 Class B Units @ $20,000</t>
  </si>
  <si>
    <t xml:space="preserve">Liquidity (month 60)</t>
  </si>
  <si>
    <t xml:space="preserve">A: convert to Class A (25%)  ·  B: buyout via refi</t>
  </si>
  <si>
    <t xml:space="preserve">Preferred return applies to</t>
  </si>
  <si>
    <t xml:space="preserve">Fund + Membership pool ($20M) — see note</t>
  </si>
  <si>
    <t xml:space="preserve">REVENUE BUILD  —  from units × occupancy × price × days</t>
  </si>
  <si>
    <t xml:space="preserve">  ANNUAL RUN-RATE (full-year, stabilized)</t>
  </si>
  <si>
    <t xml:space="preserve">Segment</t>
  </si>
  <si>
    <t xml:space="preserve">Summer</t>
  </si>
  <si>
    <t xml:space="preserve">Winter</t>
  </si>
  <si>
    <t xml:space="preserve">Full-year</t>
  </si>
  <si>
    <t xml:space="preserve">Green fees</t>
  </si>
  <si>
    <t xml:space="preserve">Practice facility</t>
  </si>
  <si>
    <t xml:space="preserve">Other income</t>
  </si>
  <si>
    <t xml:space="preserve">Total full-year run-rate</t>
  </si>
  <si>
    <t xml:space="preserve">  REVENUE BY FISCAL YEAR</t>
  </si>
  <si>
    <t xml:space="preserve">USD $</t>
  </si>
  <si>
    <t xml:space="preserve">0</t>
  </si>
  <si>
    <t xml:space="preserve">Total revenue</t>
  </si>
  <si>
    <t xml:space="preserve">Revenue growth %</t>
  </si>
  <si>
    <t xml:space="preserve">n/a</t>
  </si>
  <si>
    <t xml:space="preserve">PROJECTED P&amp;L  —  FY2026–FY2031 (USD)</t>
  </si>
  <si>
    <t xml:space="preserve">Operating expenses</t>
  </si>
  <si>
    <t xml:space="preserve">Administrative expenses</t>
  </si>
  <si>
    <t xml:space="preserve">EBITDA</t>
  </si>
  <si>
    <t xml:space="preserve">  EBITDA margin</t>
  </si>
  <si>
    <t xml:space="preserve">Depreciation &amp; amortization</t>
  </si>
  <si>
    <t xml:space="preserve">EBIT</t>
  </si>
  <si>
    <t xml:space="preserve">Interest expense (net)</t>
  </si>
  <si>
    <t xml:space="preserve">EBT</t>
  </si>
  <si>
    <t xml:space="preserve">Memo: EBITDA / interest (x)</t>
  </si>
  <si>
    <t xml:space="preserve">CAPITAL STACK, SOURCES &amp; USES, DEBT SCHEDULE</t>
  </si>
  <si>
    <t xml:space="preserve">  SOURCES OF FUNDS</t>
  </si>
  <si>
    <t xml:space="preserve">Outside equity — direct 15% of Chicago West</t>
  </si>
  <si>
    <t xml:space="preserve">Bank senior term loan</t>
  </si>
  <si>
    <t xml:space="preserve">Equipment / leasing facility</t>
  </si>
  <si>
    <t xml:space="preserve">Total sources</t>
  </si>
  <si>
    <t xml:space="preserve">  USES OF FUNDS</t>
  </si>
  <si>
    <t xml:space="preserve">Buildings and domes (four domes)</t>
  </si>
  <si>
    <t xml:space="preserve">Course layout</t>
  </si>
  <si>
    <t xml:space="preserve">Property (land)</t>
  </si>
  <si>
    <t xml:space="preserve">Contingency (10% of fixed assets)</t>
  </si>
  <si>
    <t xml:space="preserve">Financing fees &amp; expenses</t>
  </si>
  <si>
    <t xml:space="preserve">Furniture &amp; fixtures</t>
  </si>
  <si>
    <t xml:space="preserve">Machinery &amp; equipment</t>
  </si>
  <si>
    <t xml:space="preserve">Initial inventory</t>
  </si>
  <si>
    <t xml:space="preserve">Website development (capitalized)</t>
  </si>
  <si>
    <t xml:space="preserve">Computer equipment</t>
  </si>
  <si>
    <t xml:space="preserve">Marketing &amp; studies (capitalized)</t>
  </si>
  <si>
    <t xml:space="preserve">Working capital + 12-mo interest reserve (plug)</t>
  </si>
  <si>
    <t xml:space="preserve">Total uses</t>
  </si>
  <si>
    <t xml:space="preserve">Surplus / (shortfall)</t>
  </si>
  <si>
    <t xml:space="preserve">  BANK SENIOR DEBT SCHEDULE  (interest-only FY2027–28, then amortizing)</t>
  </si>
  <si>
    <t xml:space="preserve">Opening balance</t>
  </si>
  <si>
    <t xml:space="preserve">Principal repayment</t>
  </si>
  <si>
    <t xml:space="preserve">Closing balance</t>
  </si>
  <si>
    <t xml:space="preserve">Interest expense (avg balance × rate)</t>
  </si>
  <si>
    <t xml:space="preserve">  EQUIPMENT / LEASING SCHEDULE  (fully amortizing over term)</t>
  </si>
  <si>
    <t xml:space="preserve">Annual payment (P+I)</t>
  </si>
  <si>
    <t xml:space="preserve">Interest portion</t>
  </si>
  <si>
    <t xml:space="preserve">Principal portion</t>
  </si>
  <si>
    <t xml:space="preserve">  COMBINED DEBT SERVICE</t>
  </si>
  <si>
    <t xml:space="preserve">Total interest expense (bank + lease)</t>
  </si>
  <si>
    <t xml:space="preserve">Total debt outstanding (closing)</t>
  </si>
  <si>
    <t xml:space="preserve">Total principal repayment</t>
  </si>
  <si>
    <t xml:space="preserve">DSCR = EBITDA / (interest + principal)</t>
  </si>
  <si>
    <t xml:space="preserve">INVESTOR RETURNS — MULTI-TRANCHE WATERFALL</t>
  </si>
  <si>
    <t xml:space="preserve">Exit value flows live from Year-5 EBITDA × exit multiple. Pool = Fund + Membership ($20M, 10% pref). Outside = direct 15% stake. Above-pref split 50/50 investor pool / Manager. Illustrative — final waterfall per offering documents (Bond Conway).</t>
  </si>
  <si>
    <t xml:space="preserve">  EXIT VALUATION (FY2031)</t>
  </si>
  <si>
    <t xml:space="preserve">Year-5 (FY2031) EBITDA</t>
  </si>
  <si>
    <t xml:space="preserve">Total enterprise value (TEV)</t>
  </si>
  <si>
    <t xml:space="preserve">Less: net debt at exit</t>
  </si>
  <si>
    <t xml:space="preserve">Equity value at exit</t>
  </si>
  <si>
    <t xml:space="preserve">  EXIT EQUITY BY CLASS</t>
  </si>
  <si>
    <t xml:space="preserve">Class / tranche</t>
  </si>
  <si>
    <t xml:space="preserve">Share</t>
  </si>
  <si>
    <t xml:space="preserve">Value at exit</t>
  </si>
  <si>
    <t xml:space="preserve">Fund — Class B preferred ($10M)</t>
  </si>
  <si>
    <t xml:space="preserve">Membership equity ($10M)</t>
  </si>
  <si>
    <t xml:space="preserve">Outside — direct stake ($5M)</t>
  </si>
  <si>
    <t xml:space="preserve">Manager — Class A (carry)</t>
  </si>
  <si>
    <t xml:space="preserve">Total</t>
  </si>
  <si>
    <t xml:space="preserve">  PER-TRANCHE CASH FLOWS &amp; RETURNS</t>
  </si>
  <si>
    <t xml:space="preserve">Fund — net cash flow ($10M)</t>
  </si>
  <si>
    <t xml:space="preserve">Membership — net cash flow ($10M)</t>
  </si>
  <si>
    <t xml:space="preserve">Strategic/Outside — net cash flow ($5M)</t>
  </si>
  <si>
    <t xml:space="preserve">Blended — all investor equity ($25M)</t>
  </si>
  <si>
    <t xml:space="preserve">  RETURN METRICS (modeled)</t>
  </si>
  <si>
    <t xml:space="preserve">Fund — net IRR / MOIC</t>
  </si>
  <si>
    <t xml:space="preserve">Membership — net IRR / MOIC</t>
  </si>
  <si>
    <t xml:space="preserve">Strategic/Outside — net IRR / MOIC</t>
  </si>
  <si>
    <t xml:space="preserve">Blended — net IRR / MOIC</t>
  </si>
  <si>
    <t xml:space="preserve">MEGALODOME GOLF USA INC. (Manager) value at exit</t>
  </si>
  <si>
    <t xml:space="preserve">Total investor preferred + PIK (Fund+Memb)</t>
  </si>
  <si>
    <t xml:space="preserve">Note: MEG USA upside (equity in parent) additional, unquantified.</t>
  </si>
  <si>
    <t xml:space="preserve">SENSITIVITY &amp; SCENARIO ANALYSIS</t>
  </si>
  <si>
    <t xml:space="preserve">Two dominant levers: exit multiple and Year-5 EBITDA. Investor share of exit equity = Fund + Membership + Outside (57.5%).</t>
  </si>
  <si>
    <t xml:space="preserve">  TABLE 1 — All-investor exit value &amp; blended MOIC vs. exit multiple</t>
  </si>
  <si>
    <t xml:space="preserve">Investor exit value (57.5%)</t>
  </si>
  <si>
    <t xml:space="preserve">Approx. blended MOIC to investors</t>
  </si>
  <si>
    <t xml:space="preserve">  TABLE 2 — Scenarios (per business plan stress cases)</t>
  </si>
  <si>
    <t xml:space="preserve">Scenario</t>
  </si>
  <si>
    <t xml:space="preserve">Year-1 realization</t>
  </si>
  <si>
    <t xml:space="preserve">Exit multiple</t>
  </si>
  <si>
    <t xml:space="preserve">Year-5 EBITDA</t>
  </si>
  <si>
    <t xml:space="preserve">Investor exit value</t>
  </si>
  <si>
    <t xml:space="preserve">Approx. MOIC</t>
  </si>
  <si>
    <t xml:space="preserve">Downside</t>
  </si>
  <si>
    <t xml:space="preserve">Base case</t>
  </si>
  <si>
    <t xml:space="preserve">Upside</t>
  </si>
  <si>
    <t xml:space="preserve">Note: scenarios vary the two dominant levers. Year-1 realization affects ramp cash but not stabilized Year-5 EBITDA, which drives exit value. Interim pool preferred is held at modeled levels. A full multi-variable sensitivity should accompany investor distribution per the business plan.</t>
  </si>
</sst>
</file>

<file path=xl/styles.xml><?xml version="1.0" encoding="utf-8"?>
<styleSheet xmlns="http://schemas.openxmlformats.org/spreadsheetml/2006/main">
  <numFmts count="5">
    <numFmt numFmtId="164" formatCode="General"/>
    <numFmt numFmtId="165" formatCode="0.0%;\(0.0%\);\-"/>
    <numFmt numFmtId="166" formatCode="0.0\x"/>
    <numFmt numFmtId="167" formatCode="#,##0;\(#,##0\);\-"/>
    <numFmt numFmtId="168" formatCode="\$#,##0;&quot;($&quot;#,##0\);\-"/>
  </numFmts>
  <fonts count="28">
    <font>
      <sz val="11"/>
      <color theme="1"/>
      <name val="Calibri"/>
      <family val="2"/>
      <charset val="1"/>
    </font>
    <font>
      <sz val="10"/>
      <name val="Arial"/>
      <family val="0"/>
    </font>
    <font>
      <sz val="10"/>
      <name val="Arial"/>
      <family val="0"/>
    </font>
    <font>
      <sz val="10"/>
      <name val="Arial"/>
      <family val="0"/>
    </font>
    <font>
      <b val="true"/>
      <sz val="20"/>
      <color rgb="FF2E2E2E"/>
      <name val="Arial"/>
      <family val="0"/>
      <charset val="1"/>
    </font>
    <font>
      <sz val="12"/>
      <color rgb="FF7F7F7F"/>
      <name val="Arial"/>
      <family val="0"/>
      <charset val="1"/>
    </font>
    <font>
      <i val="true"/>
      <sz val="10"/>
      <color rgb="FF7F7F7F"/>
      <name val="Arial"/>
      <family val="0"/>
      <charset val="1"/>
    </font>
    <font>
      <b val="true"/>
      <sz val="11"/>
      <color rgb="FFFFFFFF"/>
      <name val="Arial"/>
      <family val="0"/>
      <charset val="1"/>
    </font>
    <font>
      <sz val="10"/>
      <color rgb="FF2E2E2E"/>
      <name val="Arial"/>
      <family val="0"/>
      <charset val="1"/>
    </font>
    <font>
      <b val="true"/>
      <sz val="10"/>
      <color rgb="FF2E2E2E"/>
      <name val="Arial"/>
      <family val="0"/>
      <charset val="1"/>
    </font>
    <font>
      <b val="true"/>
      <sz val="10"/>
      <color rgb="FF008000"/>
      <name val="Arial"/>
      <family val="0"/>
      <charset val="1"/>
    </font>
    <font>
      <sz val="9"/>
      <color rgb="FF404040"/>
      <name val="Arial"/>
      <family val="0"/>
      <charset val="1"/>
    </font>
    <font>
      <i val="true"/>
      <sz val="8"/>
      <color rgb="FF595959"/>
      <name val="Arial"/>
      <family val="0"/>
      <charset val="1"/>
    </font>
    <font>
      <b val="true"/>
      <sz val="14"/>
      <color rgb="FF2E2E2E"/>
      <name val="Arial"/>
      <family val="0"/>
      <charset val="1"/>
    </font>
    <font>
      <i val="true"/>
      <sz val="9"/>
      <color rgb="FF7F7F7F"/>
      <name val="Arial"/>
      <family val="0"/>
      <charset val="1"/>
    </font>
    <font>
      <sz val="10"/>
      <color rgb="FF0000FF"/>
      <name val="Arial"/>
      <family val="0"/>
      <charset val="1"/>
    </font>
    <font>
      <b val="true"/>
      <sz val="9"/>
      <color rgb="FFFFFFFF"/>
      <name val="Arial"/>
      <family val="0"/>
      <charset val="1"/>
    </font>
    <font>
      <sz val="9"/>
      <color rgb="FF000000"/>
      <name val="Arial"/>
      <family val="0"/>
      <charset val="1"/>
    </font>
    <font>
      <sz val="10"/>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sz val="10"/>
      <name val="Arial"/>
      <family val="2"/>
    </font>
    <font>
      <b val="true"/>
      <sz val="10"/>
      <color rgb="FFFFFFFF"/>
      <name val="Arial"/>
      <family val="0"/>
      <charset val="1"/>
    </font>
    <font>
      <b val="true"/>
      <sz val="9"/>
      <color rgb="FF7F7F7F"/>
      <name val="Arial"/>
      <family val="0"/>
      <charset val="1"/>
    </font>
    <font>
      <sz val="9"/>
      <color rgb="FF7F7F7F"/>
      <name val="Arial"/>
      <family val="0"/>
      <charset val="1"/>
    </font>
    <font>
      <b val="true"/>
      <sz val="10"/>
      <color rgb="FF7F7F7F"/>
      <name val="Arial"/>
      <family val="0"/>
      <charset val="1"/>
    </font>
    <font>
      <sz val="10"/>
      <color rgb="FF7F7F7F"/>
      <name val="Arial"/>
      <family val="0"/>
      <charset val="1"/>
    </font>
  </fonts>
  <fills count="6">
    <fill>
      <patternFill patternType="none"/>
    </fill>
    <fill>
      <patternFill patternType="gray125"/>
    </fill>
    <fill>
      <patternFill patternType="solid">
        <fgColor rgb="FF2E2E2E"/>
        <bgColor rgb="FF1F2A44"/>
      </patternFill>
    </fill>
    <fill>
      <patternFill patternType="solid">
        <fgColor rgb="FF1F2A44"/>
        <bgColor rgb="FF2E2E2E"/>
      </patternFill>
    </fill>
    <fill>
      <patternFill patternType="solid">
        <fgColor rgb="FFEEDCA7"/>
        <bgColor rgb="FFDFCE9D"/>
      </patternFill>
    </fill>
    <fill>
      <patternFill patternType="solid">
        <fgColor rgb="FFDFCE9D"/>
        <bgColor rgb="FFEEDCA7"/>
      </patternFill>
    </fill>
  </fills>
  <borders count="4">
    <border diagonalUp="false" diagonalDown="false">
      <left/>
      <right/>
      <top/>
      <bottom/>
      <diagonal/>
    </border>
    <border diagonalUp="false" diagonalDown="false">
      <left/>
      <right/>
      <top/>
      <bottom style="thin">
        <color rgb="FF99999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15" fillId="0" borderId="2"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5" fillId="0" borderId="2" xfId="0" applyFont="true" applyBorder="true" applyAlignment="true" applyProtection="false">
      <alignment horizontal="right" vertical="bottom" textRotation="0" wrapText="false" indent="0" shrinkToFit="false"/>
      <protection locked="true" hidden="false"/>
    </xf>
    <xf numFmtId="164" fontId="16" fillId="3" borderId="0" xfId="0" applyFont="true" applyBorder="false" applyAlignment="true" applyProtection="false">
      <alignment horizontal="center" vertical="bottom" textRotation="0" wrapText="false" indent="0" shrinkToFit="false"/>
      <protection locked="true" hidden="false"/>
    </xf>
    <xf numFmtId="168" fontId="15" fillId="0" borderId="2" xfId="0" applyFont="true" applyBorder="true" applyAlignment="true" applyProtection="false">
      <alignment horizontal="right"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8" fontId="19" fillId="4" borderId="2" xfId="0" applyFont="true" applyBorder="true" applyAlignment="true" applyProtection="false">
      <alignment horizontal="right" vertical="bottom" textRotation="0" wrapText="false" indent="0" shrinkToFit="false"/>
      <protection locked="true" hidden="false"/>
    </xf>
    <xf numFmtId="168" fontId="15"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5" fontId="15" fillId="0" borderId="0" xfId="0" applyFont="true" applyBorder="false" applyAlignment="true" applyProtection="false">
      <alignment horizontal="right" vertical="bottom" textRotation="0" wrapText="false" indent="0" shrinkToFit="false"/>
      <protection locked="true" hidden="false"/>
    </xf>
    <xf numFmtId="168" fontId="20" fillId="0" borderId="2" xfId="0" applyFont="true" applyBorder="true" applyAlignment="true" applyProtection="false">
      <alignment horizontal="right"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5" fontId="19" fillId="4"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6" fontId="15" fillId="0" borderId="0" xfId="0" applyFont="true" applyBorder="false" applyAlignment="true" applyProtection="false">
      <alignment horizontal="right" vertical="bottom" textRotation="0" wrapText="false" indent="0" shrinkToFit="false"/>
      <protection locked="true" hidden="false"/>
    </xf>
    <xf numFmtId="168" fontId="21" fillId="0" borderId="0" xfId="0" applyFont="true" applyBorder="false" applyAlignment="true" applyProtection="false">
      <alignment horizontal="right" vertical="bottom" textRotation="0" wrapText="false" indent="0" shrinkToFit="false"/>
      <protection locked="true" hidden="false"/>
    </xf>
    <xf numFmtId="168" fontId="20"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center" vertical="bottom" textRotation="0" wrapText="false" indent="0" shrinkToFit="false"/>
      <protection locked="true" hidden="false"/>
    </xf>
    <xf numFmtId="168" fontId="21" fillId="0" borderId="2" xfId="0" applyFont="true" applyBorder="true" applyAlignment="true" applyProtection="false">
      <alignment horizontal="general" vertical="bottom" textRotation="0" wrapText="false" indent="0" shrinkToFit="false"/>
      <protection locked="true" hidden="false"/>
    </xf>
    <xf numFmtId="168" fontId="19" fillId="0" borderId="2" xfId="0" applyFont="true" applyBorder="true" applyAlignment="true" applyProtection="false">
      <alignment horizontal="general" vertical="bottom" textRotation="0" wrapText="false" indent="0" shrinkToFit="false"/>
      <protection locked="true" hidden="false"/>
    </xf>
    <xf numFmtId="168" fontId="19" fillId="4" borderId="2"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3" fillId="3" borderId="2" xfId="0" applyFont="true" applyBorder="true" applyAlignment="true" applyProtection="false">
      <alignment horizontal="center" vertical="bottom" textRotation="0" wrapText="false" indent="0" shrinkToFit="false"/>
      <protection locked="true" hidden="false"/>
    </xf>
    <xf numFmtId="168" fontId="20" fillId="0" borderId="2" xfId="0" applyFont="true" applyBorder="tru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8" fontId="10" fillId="4" borderId="2" xfId="0" applyFont="true" applyBorder="tru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8" fontId="19" fillId="5" borderId="2" xfId="0" applyFont="true" applyBorder="tru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8" fontId="21" fillId="0" borderId="1" xfId="0" applyFont="true" applyBorder="true" applyAlignment="true" applyProtection="false">
      <alignment horizontal="right" vertical="bottom" textRotation="0" wrapText="false" indent="0" shrinkToFit="false"/>
      <protection locked="true" hidden="false"/>
    </xf>
    <xf numFmtId="168" fontId="19" fillId="4" borderId="0" xfId="0" applyFont="true" applyBorder="false" applyAlignment="true" applyProtection="false">
      <alignment horizontal="right"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right" vertical="bottom" textRotation="0" wrapText="false" indent="0" shrinkToFit="false"/>
      <protection locked="true" hidden="false"/>
    </xf>
    <xf numFmtId="168" fontId="15" fillId="0" borderId="1"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6" fontId="19" fillId="4"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6" fontId="21" fillId="0" borderId="1" xfId="0" applyFont="true" applyBorder="true" applyAlignment="true" applyProtection="false">
      <alignment horizontal="right" vertical="bottom" textRotation="0" wrapText="false" indent="0" shrinkToFit="false"/>
      <protection locked="true" hidden="false"/>
    </xf>
    <xf numFmtId="168" fontId="20"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8" fontId="19" fillId="4" borderId="1" xfId="0" applyFont="true" applyBorder="true" applyAlignment="true" applyProtection="false">
      <alignment horizontal="right" vertical="bottom" textRotation="0" wrapText="false" indent="0" shrinkToFit="false"/>
      <protection locked="true" hidden="false"/>
    </xf>
    <xf numFmtId="165" fontId="20" fillId="0" borderId="2" xfId="0" applyFont="true" applyBorder="true" applyAlignment="true" applyProtection="false">
      <alignment horizontal="right" vertical="bottom" textRotation="0" wrapText="false" indent="0" shrinkToFit="false"/>
      <protection locked="true" hidden="false"/>
    </xf>
    <xf numFmtId="165" fontId="19" fillId="4" borderId="2" xfId="0" applyFont="true" applyBorder="true" applyAlignment="true" applyProtection="false">
      <alignment horizontal="right"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20" fillId="0" borderId="1" xfId="0" applyFont="true" applyBorder="true" applyAlignment="true" applyProtection="false">
      <alignment horizontal="left" vertical="bottom" textRotation="0" wrapText="false" indent="0" shrinkToFit="false"/>
      <protection locked="true" hidden="false"/>
    </xf>
    <xf numFmtId="164" fontId="19" fillId="0" borderId="1" xfId="0" applyFont="true" applyBorder="tru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6" fontId="19" fillId="5"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6" fontId="15" fillId="0" borderId="2" xfId="0" applyFont="true" applyBorder="true" applyAlignment="true" applyProtection="false">
      <alignment horizontal="right" vertical="bottom" textRotation="0" wrapText="false" indent="0" shrinkToFit="false"/>
      <protection locked="true" hidden="false"/>
    </xf>
    <xf numFmtId="166" fontId="19" fillId="4" borderId="2" xfId="0" applyFont="true" applyBorder="true" applyAlignment="true" applyProtection="false">
      <alignment horizontal="right" vertical="bottom" textRotation="0" wrapText="false" indent="0" shrinkToFit="false"/>
      <protection locked="true" hidden="false"/>
    </xf>
    <xf numFmtId="164" fontId="24" fillId="0" borderId="2" xfId="0" applyFont="true" applyBorder="true" applyAlignment="true" applyProtection="false">
      <alignment horizontal="center" vertical="bottom" textRotation="0" wrapText="tru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6" fontId="20" fillId="0" borderId="2" xfId="0" applyFont="true" applyBorder="true" applyAlignment="true" applyProtection="false">
      <alignment horizontal="right" vertical="bottom"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FCE9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EDCA7"/>
      <rgbColor rgb="FF3366FF"/>
      <rgbColor rgb="FF33CCCC"/>
      <rgbColor rgb="FF99CC00"/>
      <rgbColor rgb="FFFFCC00"/>
      <rgbColor rgb="FFFF9900"/>
      <rgbColor rgb="FFFF6600"/>
      <rgbColor rgb="FF595959"/>
      <rgbColor rgb="FF999999"/>
      <rgbColor rgb="FF1F2A44"/>
      <rgbColor rgb="FF339966"/>
      <rgbColor rgb="FF003300"/>
      <rgbColor rgb="FF404040"/>
      <rgbColor rgb="FF993300"/>
      <rgbColor rgb="FF993366"/>
      <rgbColor rgb="FF333399"/>
      <rgbColor rgb="FF2E2E2E"/>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sharedStrings" Target="sharedStrings.xml"/><Relationship Id="rId4" Type="http://schemas.openxmlformats.org/officeDocument/2006/relationships/worksheet" Target="worksheets/sheet2.xml"/><Relationship Id="rId9"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8"/>
  <sheetViews>
    <sheetView showFormulas="false" showGridLines="false" showRowColHeaders="true" showZeros="true" rightToLeft="false" tabSelected="false" showOutlineSymbols="true" defaultGridColor="true" view="normal" topLeftCell="A26"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62"/>
    <col collapsed="false" customWidth="true" hidden="false" outlineLevel="0" max="4" min="3" style="1" width="18"/>
  </cols>
  <sheetData>
    <row r="2" customFormat="false" ht="24.75" hidden="false" customHeight="true" outlineLevel="0" collapsed="false">
      <c r="B2" s="2" t="s">
        <v>0</v>
      </c>
      <c r="C2" s="2"/>
      <c r="D2" s="2"/>
    </row>
    <row r="3" customFormat="false" ht="15" hidden="false" customHeight="true" outlineLevel="0" collapsed="false">
      <c r="B3" s="3" t="s">
        <v>1</v>
      </c>
      <c r="C3" s="3"/>
      <c r="D3" s="3"/>
    </row>
    <row r="4" customFormat="false" ht="14.25" hidden="false" customHeight="true" outlineLevel="0" collapsed="false">
      <c r="B4" s="4" t="s">
        <v>2</v>
      </c>
      <c r="C4" s="4"/>
      <c r="D4" s="4"/>
    </row>
    <row r="6" customFormat="false" ht="19.5" hidden="false" customHeight="true" outlineLevel="0" collapsed="false">
      <c r="A6" s="5" t="s">
        <v>3</v>
      </c>
      <c r="B6" s="5"/>
      <c r="C6" s="5"/>
      <c r="D6" s="5"/>
    </row>
    <row r="7" customFormat="false" ht="14.25" hidden="false" customHeight="true" outlineLevel="0" collapsed="false">
      <c r="B7" s="6" t="s">
        <v>4</v>
      </c>
      <c r="C7" s="7" t="s">
        <v>5</v>
      </c>
      <c r="D7" s="7"/>
    </row>
    <row r="8" customFormat="false" ht="14.25" hidden="false" customHeight="true" outlineLevel="0" collapsed="false">
      <c r="B8" s="6" t="s">
        <v>6</v>
      </c>
      <c r="C8" s="7" t="s">
        <v>7</v>
      </c>
      <c r="D8" s="7"/>
    </row>
    <row r="9" customFormat="false" ht="14.25" hidden="false" customHeight="true" outlineLevel="0" collapsed="false">
      <c r="B9" s="6" t="s">
        <v>8</v>
      </c>
      <c r="C9" s="7" t="s">
        <v>9</v>
      </c>
      <c r="D9" s="7"/>
    </row>
    <row r="10" customFormat="false" ht="14.25" hidden="false" customHeight="true" outlineLevel="0" collapsed="false">
      <c r="B10" s="6" t="s">
        <v>10</v>
      </c>
      <c r="C10" s="7" t="s">
        <v>11</v>
      </c>
      <c r="D10" s="7"/>
    </row>
    <row r="11" customFormat="false" ht="14.25" hidden="false" customHeight="true" outlineLevel="0" collapsed="false">
      <c r="B11" s="6" t="s">
        <v>12</v>
      </c>
      <c r="C11" s="7" t="s">
        <v>13</v>
      </c>
      <c r="D11" s="7"/>
    </row>
    <row r="12" customFormat="false" ht="14.25" hidden="false" customHeight="true" outlineLevel="0" collapsed="false">
      <c r="B12" s="6" t="s">
        <v>14</v>
      </c>
      <c r="C12" s="7" t="s">
        <v>15</v>
      </c>
      <c r="D12" s="7"/>
    </row>
    <row r="13" customFormat="false" ht="14.25" hidden="false" customHeight="true" outlineLevel="0" collapsed="false">
      <c r="B13" s="6" t="s">
        <v>16</v>
      </c>
      <c r="C13" s="8" t="n">
        <f aca="false">Returns!C30</f>
        <v>0.197423625889318</v>
      </c>
      <c r="D13" s="8"/>
    </row>
    <row r="14" customFormat="false" ht="14.25" hidden="false" customHeight="true" outlineLevel="0" collapsed="false">
      <c r="B14" s="6" t="s">
        <v>17</v>
      </c>
      <c r="C14" s="9" t="n">
        <f aca="false">Returns!D30</f>
        <v>2.35387133408873</v>
      </c>
      <c r="D14" s="9"/>
    </row>
    <row r="15" customFormat="false" ht="14.25" hidden="false" customHeight="true" outlineLevel="0" collapsed="false">
      <c r="B15" s="6" t="s">
        <v>18</v>
      </c>
      <c r="C15" s="7" t="s">
        <v>19</v>
      </c>
      <c r="D15" s="7"/>
    </row>
    <row r="17" customFormat="false" ht="19.5" hidden="false" customHeight="true" outlineLevel="0" collapsed="false">
      <c r="A17" s="10" t="s">
        <v>20</v>
      </c>
      <c r="B17" s="10"/>
      <c r="C17" s="10"/>
      <c r="D17" s="10"/>
    </row>
    <row r="18" customFormat="false" ht="13.5" hidden="false" customHeight="true" outlineLevel="0" collapsed="false">
      <c r="B18" s="11" t="s">
        <v>21</v>
      </c>
      <c r="C18" s="11"/>
      <c r="D18" s="11"/>
    </row>
    <row r="19" customFormat="false" ht="13.5" hidden="false" customHeight="true" outlineLevel="0" collapsed="false">
      <c r="B19" s="11" t="s">
        <v>22</v>
      </c>
      <c r="C19" s="11"/>
      <c r="D19" s="11"/>
    </row>
    <row r="20" customFormat="false" ht="13.5" hidden="false" customHeight="true" outlineLevel="0" collapsed="false">
      <c r="B20" s="11" t="s">
        <v>23</v>
      </c>
      <c r="C20" s="11"/>
      <c r="D20" s="11"/>
    </row>
    <row r="21" customFormat="false" ht="13.5" hidden="false" customHeight="true" outlineLevel="0" collapsed="false">
      <c r="B21" s="11" t="s">
        <v>24</v>
      </c>
      <c r="C21" s="11"/>
      <c r="D21" s="11"/>
    </row>
    <row r="22" customFormat="false" ht="13.5" hidden="false" customHeight="true" outlineLevel="0" collapsed="false">
      <c r="B22" s="11" t="s">
        <v>25</v>
      </c>
      <c r="C22" s="11"/>
      <c r="D22" s="11"/>
    </row>
    <row r="24" customFormat="false" ht="15" hidden="false" customHeight="true" outlineLevel="0" collapsed="false">
      <c r="B24" s="12" t="s">
        <v>26</v>
      </c>
      <c r="C24" s="12"/>
      <c r="D24" s="12"/>
    </row>
    <row r="25" customFormat="false" ht="14.25" hidden="false" customHeight="true" outlineLevel="0" collapsed="false">
      <c r="B25" s="12"/>
      <c r="C25" s="12"/>
      <c r="D25" s="12"/>
    </row>
    <row r="26" customFormat="false" ht="14.25" hidden="false" customHeight="true" outlineLevel="0" collapsed="false">
      <c r="B26" s="12"/>
      <c r="C26" s="12"/>
      <c r="D26" s="12"/>
    </row>
    <row r="27" customFormat="false" ht="14.25" hidden="false" customHeight="true" outlineLevel="0" collapsed="false">
      <c r="B27" s="12"/>
      <c r="C27" s="12"/>
      <c r="D27" s="12"/>
    </row>
    <row r="28" customFormat="false" ht="14.25" hidden="false" customHeight="true" outlineLevel="0" collapsed="false">
      <c r="B28" s="12"/>
      <c r="C28" s="12"/>
      <c r="D28" s="12"/>
    </row>
  </sheetData>
  <mergeCells count="20">
    <mergeCell ref="B2:D2"/>
    <mergeCell ref="B3:D3"/>
    <mergeCell ref="B4:D4"/>
    <mergeCell ref="A6:D6"/>
    <mergeCell ref="C7:D7"/>
    <mergeCell ref="C8:D8"/>
    <mergeCell ref="C9:D9"/>
    <mergeCell ref="C10:D10"/>
    <mergeCell ref="C11:D11"/>
    <mergeCell ref="C12:D12"/>
    <mergeCell ref="C13:D13"/>
    <mergeCell ref="C14:D14"/>
    <mergeCell ref="C15:D15"/>
    <mergeCell ref="A17:D17"/>
    <mergeCell ref="B18:D18"/>
    <mergeCell ref="B19:D19"/>
    <mergeCell ref="B20:D20"/>
    <mergeCell ref="B21:D21"/>
    <mergeCell ref="B22:D22"/>
    <mergeCell ref="B24: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8" min="3" style="1" width="13"/>
  </cols>
  <sheetData>
    <row r="1" customFormat="false" ht="18" hidden="false" customHeight="true" outlineLevel="0" collapsed="false">
      <c r="B1" s="13" t="s">
        <v>27</v>
      </c>
    </row>
    <row r="2" customFormat="false" ht="14.25" hidden="false" customHeight="true" outlineLevel="0" collapsed="false">
      <c r="B2" s="14" t="s">
        <v>28</v>
      </c>
    </row>
    <row r="4" customFormat="false" ht="19.5" hidden="false" customHeight="true" outlineLevel="0" collapsed="false">
      <c r="A4" s="15" t="s">
        <v>29</v>
      </c>
    </row>
    <row r="5" customFormat="false" ht="14.25" hidden="false" customHeight="true" outlineLevel="0" collapsed="false">
      <c r="B5" s="16" t="s">
        <v>30</v>
      </c>
      <c r="C5" s="17" t="n">
        <v>183</v>
      </c>
    </row>
    <row r="6" customFormat="false" ht="14.25" hidden="false" customHeight="true" outlineLevel="0" collapsed="false">
      <c r="B6" s="16" t="s">
        <v>31</v>
      </c>
      <c r="C6" s="17" t="n">
        <v>182</v>
      </c>
    </row>
    <row r="7" customFormat="false" ht="14.25" hidden="false" customHeight="true" outlineLevel="0" collapsed="false">
      <c r="B7" s="18" t="s">
        <v>32</v>
      </c>
      <c r="C7" s="19" t="n">
        <v>0.379</v>
      </c>
    </row>
    <row r="8" customFormat="false" ht="14.25" hidden="false" customHeight="true" outlineLevel="0" collapsed="false">
      <c r="B8" s="16" t="s">
        <v>33</v>
      </c>
      <c r="C8" s="19" t="n">
        <v>0.0285</v>
      </c>
    </row>
    <row r="10" customFormat="false" ht="19.5" hidden="false" customHeight="true" outlineLevel="0" collapsed="false">
      <c r="A10" s="15" t="s">
        <v>34</v>
      </c>
    </row>
    <row r="11" customFormat="false" ht="14.25" hidden="false" customHeight="true" outlineLevel="0" collapsed="false">
      <c r="C11" s="20" t="s">
        <v>35</v>
      </c>
      <c r="D11" s="20" t="s">
        <v>36</v>
      </c>
    </row>
    <row r="12" customFormat="false" ht="14.25" hidden="false" customHeight="true" outlineLevel="0" collapsed="false">
      <c r="B12" s="16" t="s">
        <v>37</v>
      </c>
      <c r="C12" s="17" t="n">
        <v>420</v>
      </c>
      <c r="D12" s="17" t="n">
        <v>444</v>
      </c>
    </row>
    <row r="13" customFormat="false" ht="14.25" hidden="false" customHeight="true" outlineLevel="0" collapsed="false">
      <c r="B13" s="16" t="s">
        <v>38</v>
      </c>
      <c r="C13" s="19" t="n">
        <v>0.5208</v>
      </c>
      <c r="D13" s="19" t="n">
        <v>0.8958</v>
      </c>
    </row>
    <row r="14" customFormat="false" ht="14.25" hidden="false" customHeight="true" outlineLevel="0" collapsed="false">
      <c r="B14" s="16" t="s">
        <v>39</v>
      </c>
      <c r="C14" s="21" t="n">
        <v>80</v>
      </c>
      <c r="D14" s="21" t="n">
        <v>122.5</v>
      </c>
    </row>
    <row r="16" customFormat="false" ht="19.5" hidden="false" customHeight="true" outlineLevel="0" collapsed="false">
      <c r="A16" s="15" t="s">
        <v>40</v>
      </c>
    </row>
    <row r="17" customFormat="false" ht="14.25" hidden="false" customHeight="true" outlineLevel="0" collapsed="false">
      <c r="C17" s="20" t="s">
        <v>35</v>
      </c>
      <c r="D17" s="20" t="s">
        <v>36</v>
      </c>
    </row>
    <row r="18" customFormat="false" ht="14.25" hidden="false" customHeight="true" outlineLevel="0" collapsed="false">
      <c r="B18" s="16" t="s">
        <v>41</v>
      </c>
      <c r="C18" s="17" t="n">
        <v>880</v>
      </c>
      <c r="D18" s="17" t="n">
        <v>895</v>
      </c>
    </row>
    <row r="19" customFormat="false" ht="14.25" hidden="false" customHeight="true" outlineLevel="0" collapsed="false">
      <c r="B19" s="16" t="s">
        <v>38</v>
      </c>
      <c r="C19" s="19" t="n">
        <v>0.2333</v>
      </c>
      <c r="D19" s="19" t="n">
        <v>0.8</v>
      </c>
    </row>
    <row r="20" customFormat="false" ht="14.25" hidden="false" customHeight="true" outlineLevel="0" collapsed="false">
      <c r="B20" s="16" t="s">
        <v>42</v>
      </c>
      <c r="C20" s="21" t="n">
        <v>35</v>
      </c>
      <c r="D20" s="21" t="n">
        <v>62.5</v>
      </c>
    </row>
    <row r="22" customFormat="false" ht="19.5" hidden="false" customHeight="true" outlineLevel="0" collapsed="false">
      <c r="A22" s="15" t="s">
        <v>43</v>
      </c>
    </row>
    <row r="23" customFormat="false" ht="14.25" hidden="false" customHeight="true" outlineLevel="0" collapsed="false">
      <c r="B23" s="16" t="s">
        <v>44</v>
      </c>
      <c r="C23" s="21" t="n">
        <v>785400</v>
      </c>
    </row>
    <row r="24" customFormat="false" ht="14.25" hidden="false" customHeight="true" outlineLevel="0" collapsed="false">
      <c r="B24" s="16" t="s">
        <v>45</v>
      </c>
      <c r="C24" s="21" t="n">
        <v>192500</v>
      </c>
    </row>
    <row r="26" customFormat="false" ht="14.25" hidden="false" customHeight="true" outlineLevel="0" collapsed="false">
      <c r="A26" s="22" t="s">
        <v>46</v>
      </c>
    </row>
    <row r="27" customFormat="false" ht="14.25" hidden="false" customHeight="true" outlineLevel="0" collapsed="false">
      <c r="B27" s="23"/>
      <c r="C27" s="20" t="s">
        <v>47</v>
      </c>
      <c r="D27" s="20" t="s">
        <v>48</v>
      </c>
      <c r="E27" s="20" t="s">
        <v>49</v>
      </c>
      <c r="F27" s="20" t="s">
        <v>50</v>
      </c>
      <c r="G27" s="20" t="s">
        <v>51</v>
      </c>
      <c r="H27" s="20" t="s">
        <v>52</v>
      </c>
    </row>
    <row r="28" customFormat="false" ht="14.25" hidden="false" customHeight="true" outlineLevel="0" collapsed="false">
      <c r="B28" s="16" t="s">
        <v>53</v>
      </c>
      <c r="C28" s="19" t="n">
        <v>0</v>
      </c>
      <c r="D28" s="19" t="n">
        <v>0.1708</v>
      </c>
      <c r="E28" s="19" t="n">
        <v>0.2552</v>
      </c>
      <c r="F28" s="19" t="n">
        <v>0.2557</v>
      </c>
      <c r="G28" s="19" t="n">
        <v>0.253</v>
      </c>
      <c r="H28" s="19" t="n">
        <v>0.2517</v>
      </c>
    </row>
    <row r="29" customFormat="false" ht="14.25" hidden="false" customHeight="true" outlineLevel="0" collapsed="false">
      <c r="B29" s="16" t="s">
        <v>54</v>
      </c>
      <c r="C29" s="19" t="n">
        <v>0</v>
      </c>
      <c r="D29" s="19" t="n">
        <v>0.2256</v>
      </c>
      <c r="E29" s="19" t="n">
        <v>0.1394</v>
      </c>
      <c r="F29" s="19" t="n">
        <v>0.1313</v>
      </c>
      <c r="G29" s="19" t="n">
        <v>0.1308</v>
      </c>
      <c r="H29" s="19" t="n">
        <v>0.1305</v>
      </c>
    </row>
    <row r="30" customFormat="false" ht="14.25" hidden="false" customHeight="true" outlineLevel="0" collapsed="false">
      <c r="B30" s="16" t="s">
        <v>55</v>
      </c>
      <c r="C30" s="21" t="n">
        <v>0</v>
      </c>
      <c r="D30" s="21" t="n">
        <v>743221</v>
      </c>
      <c r="E30" s="21" t="n">
        <v>2972884</v>
      </c>
      <c r="F30" s="21" t="n">
        <v>2981426</v>
      </c>
      <c r="G30" s="21" t="n">
        <v>2969593</v>
      </c>
      <c r="H30" s="21" t="n">
        <v>2930009</v>
      </c>
    </row>
    <row r="32" customFormat="false" ht="19.5" hidden="false" customHeight="true" outlineLevel="0" collapsed="false">
      <c r="A32" s="24" t="s">
        <v>56</v>
      </c>
      <c r="B32" s="25"/>
      <c r="C32" s="25"/>
      <c r="D32" s="25"/>
      <c r="E32" s="25"/>
      <c r="F32" s="25"/>
      <c r="G32" s="25"/>
      <c r="H32" s="25"/>
    </row>
    <row r="33" customFormat="false" ht="14.25" hidden="false" customHeight="true" outlineLevel="0" collapsed="false">
      <c r="A33" s="25"/>
      <c r="B33" s="16" t="s">
        <v>57</v>
      </c>
      <c r="C33" s="21" t="n">
        <v>10000000</v>
      </c>
      <c r="D33" s="25"/>
      <c r="E33" s="25"/>
      <c r="F33" s="25"/>
      <c r="G33" s="25"/>
      <c r="H33" s="25"/>
    </row>
    <row r="34" customFormat="false" ht="14.25" hidden="false" customHeight="true" outlineLevel="0" collapsed="false">
      <c r="A34" s="25"/>
      <c r="B34" s="16" t="s">
        <v>58</v>
      </c>
      <c r="C34" s="21" t="n">
        <v>10000000</v>
      </c>
      <c r="D34" s="25"/>
      <c r="E34" s="25"/>
      <c r="F34" s="25"/>
      <c r="G34" s="25"/>
      <c r="H34" s="25"/>
    </row>
    <row r="35" customFormat="false" ht="14.25" hidden="false" customHeight="true" outlineLevel="0" collapsed="false">
      <c r="A35" s="25"/>
      <c r="B35" s="16" t="s">
        <v>59</v>
      </c>
      <c r="C35" s="21" t="n">
        <v>5000000</v>
      </c>
      <c r="D35" s="25"/>
      <c r="E35" s="25"/>
      <c r="F35" s="25"/>
      <c r="G35" s="25"/>
      <c r="H35" s="25"/>
    </row>
    <row r="36" customFormat="false" ht="14.25" hidden="false" customHeight="true" outlineLevel="0" collapsed="false">
      <c r="A36" s="25"/>
      <c r="B36" s="18" t="s">
        <v>60</v>
      </c>
      <c r="C36" s="26" t="n">
        <f aca="false">SUM(C33:C35)</f>
        <v>25000000</v>
      </c>
      <c r="D36" s="25"/>
      <c r="E36" s="25"/>
      <c r="F36" s="25"/>
      <c r="G36" s="25"/>
      <c r="H36" s="25"/>
    </row>
    <row r="37" customFormat="false" ht="14.25" hidden="false" customHeight="true" outlineLevel="0" collapsed="false">
      <c r="A37" s="25"/>
      <c r="B37" s="16" t="s">
        <v>61</v>
      </c>
      <c r="C37" s="21" t="n">
        <v>40000000</v>
      </c>
      <c r="D37" s="25"/>
      <c r="E37" s="25"/>
      <c r="F37" s="25"/>
      <c r="G37" s="25"/>
      <c r="H37" s="25"/>
    </row>
    <row r="38" customFormat="false" ht="14.25" hidden="false" customHeight="true" outlineLevel="0" collapsed="false">
      <c r="A38" s="25"/>
      <c r="B38" s="16" t="s">
        <v>62</v>
      </c>
      <c r="C38" s="19" t="n">
        <v>0.084</v>
      </c>
      <c r="D38" s="25"/>
      <c r="E38" s="25"/>
      <c r="F38" s="25"/>
      <c r="G38" s="25"/>
      <c r="H38" s="25"/>
    </row>
    <row r="39" customFormat="false" ht="14.25" hidden="false" customHeight="true" outlineLevel="0" collapsed="false">
      <c r="A39" s="25"/>
      <c r="B39" s="16" t="s">
        <v>63</v>
      </c>
      <c r="C39" s="27" t="n">
        <v>12000000</v>
      </c>
      <c r="D39" s="25"/>
      <c r="E39" s="25"/>
      <c r="F39" s="25"/>
      <c r="G39" s="25"/>
      <c r="H39" s="25"/>
    </row>
    <row r="40" customFormat="false" ht="19.5" hidden="false" customHeight="true" outlineLevel="0" collapsed="false">
      <c r="A40" s="28"/>
      <c r="B40" s="16" t="s">
        <v>64</v>
      </c>
      <c r="C40" s="29" t="n">
        <v>0.085</v>
      </c>
      <c r="D40" s="25"/>
      <c r="E40" s="25"/>
      <c r="F40" s="25"/>
      <c r="G40" s="25"/>
      <c r="H40" s="25"/>
    </row>
    <row r="41" customFormat="false" ht="14.25" hidden="false" customHeight="true" outlineLevel="0" collapsed="false">
      <c r="A41" s="25"/>
      <c r="B41" s="16" t="s">
        <v>65</v>
      </c>
      <c r="C41" s="17" t="n">
        <v>7</v>
      </c>
      <c r="D41" s="25"/>
      <c r="E41" s="25"/>
      <c r="F41" s="25"/>
      <c r="G41" s="25"/>
      <c r="H41" s="25"/>
    </row>
    <row r="42" customFormat="false" ht="14.25" hidden="false" customHeight="true" outlineLevel="0" collapsed="false">
      <c r="A42" s="25"/>
      <c r="B42" s="16" t="s">
        <v>66</v>
      </c>
      <c r="C42" s="30" t="n">
        <f aca="false">C37+C39</f>
        <v>52000000</v>
      </c>
      <c r="D42" s="25"/>
      <c r="E42" s="25"/>
      <c r="F42" s="25"/>
      <c r="G42" s="25"/>
      <c r="H42" s="25"/>
    </row>
    <row r="43" customFormat="false" ht="14.25" hidden="false" customHeight="true" outlineLevel="0" collapsed="false">
      <c r="A43" s="25"/>
      <c r="B43" s="18" t="s">
        <v>4</v>
      </c>
      <c r="C43" s="26" t="n">
        <f aca="false">C36+C42</f>
        <v>77000000</v>
      </c>
      <c r="D43" s="25"/>
      <c r="E43" s="25"/>
      <c r="F43" s="25"/>
      <c r="G43" s="25"/>
      <c r="H43" s="25"/>
    </row>
    <row r="45" customFormat="false" ht="14.25" hidden="false" customHeight="true" outlineLevel="0" collapsed="false">
      <c r="A45" s="24" t="s">
        <v>67</v>
      </c>
    </row>
    <row r="46" customFormat="false" ht="14.25" hidden="false" customHeight="true" outlineLevel="0" collapsed="false">
      <c r="B46" s="16" t="s">
        <v>68</v>
      </c>
      <c r="C46" s="29" t="n">
        <v>0.1</v>
      </c>
    </row>
    <row r="47" customFormat="false" ht="14.25" hidden="false" customHeight="true" outlineLevel="0" collapsed="false">
      <c r="B47" s="16" t="s">
        <v>69</v>
      </c>
      <c r="C47" s="29" t="n">
        <v>0.5</v>
      </c>
    </row>
    <row r="48" customFormat="false" ht="14.25" hidden="false" customHeight="true" outlineLevel="0" collapsed="false">
      <c r="B48" s="16" t="s">
        <v>70</v>
      </c>
      <c r="C48" s="31" t="n">
        <f aca="false">1-C47</f>
        <v>0.5</v>
      </c>
    </row>
    <row r="49" customFormat="false" ht="14.25" hidden="false" customHeight="true" outlineLevel="0" collapsed="false">
      <c r="B49" s="16" t="s">
        <v>71</v>
      </c>
      <c r="C49" s="29" t="n">
        <v>0.125</v>
      </c>
    </row>
    <row r="51" customFormat="false" ht="14.25" hidden="false" customHeight="true" outlineLevel="0" collapsed="false">
      <c r="A51" s="24" t="s">
        <v>72</v>
      </c>
    </row>
    <row r="52" customFormat="false" ht="14.25" hidden="false" customHeight="true" outlineLevel="0" collapsed="false">
      <c r="B52" s="32" t="s">
        <v>73</v>
      </c>
      <c r="C52" s="29" t="n">
        <v>0.25</v>
      </c>
    </row>
    <row r="53" customFormat="false" ht="14.25" hidden="false" customHeight="true" outlineLevel="0" collapsed="false">
      <c r="B53" s="32" t="s">
        <v>74</v>
      </c>
      <c r="C53" s="29" t="n">
        <v>0.1</v>
      </c>
    </row>
    <row r="54" customFormat="false" ht="14.25" hidden="false" customHeight="true" outlineLevel="0" collapsed="false">
      <c r="B54" s="32" t="s">
        <v>75</v>
      </c>
      <c r="C54" s="29" t="n">
        <v>0.125</v>
      </c>
    </row>
    <row r="55" customFormat="false" ht="14.25" hidden="false" customHeight="true" outlineLevel="0" collapsed="false">
      <c r="B55" s="32" t="s">
        <v>76</v>
      </c>
      <c r="C55" s="29" t="n">
        <v>0.525</v>
      </c>
    </row>
    <row r="56" customFormat="false" ht="14.25" hidden="false" customHeight="true" outlineLevel="0" collapsed="false">
      <c r="B56" s="18" t="s">
        <v>77</v>
      </c>
      <c r="C56" s="33" t="n">
        <f aca="false">C52+C53+C54+C55</f>
        <v>1</v>
      </c>
    </row>
    <row r="58" customFormat="false" ht="14.25" hidden="false" customHeight="true" outlineLevel="0" collapsed="false">
      <c r="A58" s="24" t="s">
        <v>78</v>
      </c>
    </row>
    <row r="59" customFormat="false" ht="14.25" hidden="false" customHeight="true" outlineLevel="0" collapsed="false">
      <c r="B59" s="16" t="s">
        <v>79</v>
      </c>
      <c r="C59" s="34" t="s">
        <v>52</v>
      </c>
    </row>
    <row r="60" customFormat="false" ht="14.25" hidden="false" customHeight="true" outlineLevel="0" collapsed="false">
      <c r="B60" s="16" t="s">
        <v>80</v>
      </c>
      <c r="C60" s="35" t="n">
        <v>9</v>
      </c>
    </row>
    <row r="61" customFormat="false" ht="14.25" hidden="false" customHeight="true" outlineLevel="0" collapsed="false">
      <c r="B61" s="16" t="s">
        <v>81</v>
      </c>
      <c r="C61" s="36" t="n">
        <f aca="false">'Debt &amp; Capital'!H45</f>
        <v>32152254.5933097</v>
      </c>
    </row>
    <row r="62" customFormat="false" ht="14.25" hidden="false" customHeight="true" outlineLevel="0" collapsed="false">
      <c r="B62" s="16" t="s">
        <v>82</v>
      </c>
      <c r="C62" s="27" t="n">
        <v>0</v>
      </c>
    </row>
    <row r="63" customFormat="false" ht="14.25" hidden="false" customHeight="true" outlineLevel="0" collapsed="false">
      <c r="B63" s="18" t="s">
        <v>83</v>
      </c>
      <c r="C63" s="37" t="n">
        <f aca="false">C61-C62</f>
        <v>32152254.5933097</v>
      </c>
    </row>
    <row r="65" customFormat="false" ht="14.25" hidden="false" customHeight="false" outlineLevel="0" collapsed="false">
      <c r="B65" s="32" t="s">
        <v>84</v>
      </c>
      <c r="C65" s="34" t="s">
        <v>85</v>
      </c>
    </row>
    <row r="66" customFormat="false" ht="14.25" hidden="false" customHeight="false" outlineLevel="0" collapsed="false">
      <c r="B66" s="32" t="s">
        <v>86</v>
      </c>
      <c r="C66" s="34" t="s">
        <v>87</v>
      </c>
    </row>
    <row r="67" customFormat="false" ht="14.25" hidden="false" customHeight="false" outlineLevel="0" collapsed="false">
      <c r="B67" s="32" t="s">
        <v>88</v>
      </c>
      <c r="C67" s="34"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8" min="3" style="1" width="14"/>
  </cols>
  <sheetData>
    <row r="1" customFormat="false" ht="18" hidden="false" customHeight="true" outlineLevel="0" collapsed="false">
      <c r="B1" s="38" t="s">
        <v>90</v>
      </c>
      <c r="C1" s="38"/>
      <c r="D1" s="38"/>
      <c r="E1" s="38"/>
      <c r="F1" s="38"/>
      <c r="G1" s="38"/>
      <c r="H1" s="38"/>
    </row>
    <row r="3" customFormat="false" ht="19.5" hidden="false" customHeight="true" outlineLevel="0" collapsed="false">
      <c r="A3" s="10" t="s">
        <v>91</v>
      </c>
      <c r="B3" s="10"/>
      <c r="C3" s="10"/>
      <c r="D3" s="10"/>
      <c r="E3" s="10"/>
      <c r="F3" s="10"/>
      <c r="G3" s="10"/>
      <c r="H3" s="10"/>
    </row>
    <row r="4" customFormat="false" ht="14.25" hidden="false" customHeight="true" outlineLevel="0" collapsed="false">
      <c r="B4" s="39" t="s">
        <v>92</v>
      </c>
      <c r="C4" s="40" t="s">
        <v>93</v>
      </c>
      <c r="D4" s="40" t="s">
        <v>94</v>
      </c>
      <c r="E4" s="40" t="s">
        <v>95</v>
      </c>
    </row>
    <row r="5" customFormat="false" ht="14.25" hidden="false" customHeight="true" outlineLevel="0" collapsed="false">
      <c r="B5" s="16" t="s">
        <v>96</v>
      </c>
      <c r="C5" s="41" t="n">
        <f aca="false">Assumptions!C12*Assumptions!C13*Assumptions!C14*Assumptions!C5</f>
        <v>3202295.04</v>
      </c>
      <c r="D5" s="41" t="n">
        <f aca="false">Assumptions!D12*Assumptions!D13*Assumptions!D14*Assumptions!C6</f>
        <v>8867506.284</v>
      </c>
      <c r="E5" s="42" t="n">
        <f aca="false">C5+D5</f>
        <v>12069801.324</v>
      </c>
    </row>
    <row r="6" customFormat="false" ht="14.25" hidden="false" customHeight="true" outlineLevel="0" collapsed="false">
      <c r="B6" s="16" t="s">
        <v>97</v>
      </c>
      <c r="C6" s="41" t="n">
        <f aca="false">Assumptions!C18*Assumptions!C19*Assumptions!C20*Assumptions!C5</f>
        <v>1314972.12</v>
      </c>
      <c r="D6" s="41" t="n">
        <f aca="false">Assumptions!D18*Assumptions!D19*Assumptions!D20*Assumptions!C6</f>
        <v>8144500</v>
      </c>
      <c r="E6" s="42" t="n">
        <f aca="false">C6+D6</f>
        <v>9459472.12</v>
      </c>
    </row>
    <row r="7" customFormat="false" ht="14.25" hidden="false" customHeight="true" outlineLevel="0" collapsed="false">
      <c r="B7" s="16" t="s">
        <v>98</v>
      </c>
      <c r="E7" s="41" t="n">
        <f aca="false">Assumptions!C23</f>
        <v>785400</v>
      </c>
    </row>
    <row r="8" customFormat="false" ht="14.25" hidden="false" customHeight="true" outlineLevel="0" collapsed="false">
      <c r="B8" s="22" t="s">
        <v>99</v>
      </c>
      <c r="E8" s="43" t="n">
        <f aca="false">E5+E6+E7</f>
        <v>22314673.444</v>
      </c>
    </row>
    <row r="10" customFormat="false" ht="19.5" hidden="false" customHeight="true" outlineLevel="0" collapsed="false">
      <c r="A10" s="10" t="s">
        <v>100</v>
      </c>
      <c r="B10" s="10"/>
      <c r="C10" s="10"/>
      <c r="D10" s="10"/>
      <c r="E10" s="10"/>
      <c r="F10" s="10"/>
      <c r="G10" s="10"/>
      <c r="H10" s="10"/>
    </row>
    <row r="11" customFormat="false" ht="14.25" hidden="false" customHeight="true" outlineLevel="0" collapsed="false">
      <c r="B11" s="44" t="s">
        <v>101</v>
      </c>
      <c r="C11" s="45" t="s">
        <v>47</v>
      </c>
      <c r="D11" s="45" t="s">
        <v>48</v>
      </c>
      <c r="E11" s="45" t="s">
        <v>49</v>
      </c>
      <c r="F11" s="45" t="s">
        <v>50</v>
      </c>
      <c r="G11" s="45" t="s">
        <v>51</v>
      </c>
      <c r="H11" s="45" t="s">
        <v>52</v>
      </c>
    </row>
    <row r="12" customFormat="false" ht="14.25" hidden="false" customHeight="true" outlineLevel="0" collapsed="false">
      <c r="B12" s="16" t="s">
        <v>96</v>
      </c>
      <c r="C12" s="46" t="s">
        <v>102</v>
      </c>
      <c r="D12" s="46" t="n">
        <f aca="false">$E$5*Assumptions!C7</f>
        <v>4574454.701796</v>
      </c>
      <c r="E12" s="46" t="n">
        <f aca="false">$E$5</f>
        <v>12069801.324</v>
      </c>
      <c r="F12" s="46" t="n">
        <f aca="false">E12*(1+Assumptions!C8)</f>
        <v>12413790.661734</v>
      </c>
      <c r="G12" s="46" t="n">
        <f aca="false">F12*(1+Assumptions!C8)</f>
        <v>12767583.6955934</v>
      </c>
      <c r="H12" s="46" t="n">
        <f aca="false">G12*(1+Assumptions!C8)</f>
        <v>13131459.8309178</v>
      </c>
    </row>
    <row r="13" customFormat="false" ht="14.25" hidden="false" customHeight="true" outlineLevel="0" collapsed="false">
      <c r="B13" s="16" t="s">
        <v>97</v>
      </c>
      <c r="C13" s="46" t="s">
        <v>102</v>
      </c>
      <c r="D13" s="46" t="n">
        <f aca="false">$E$6*Assumptions!C7</f>
        <v>3585139.93348</v>
      </c>
      <c r="E13" s="46" t="n">
        <f aca="false">$E$6</f>
        <v>9459472.12</v>
      </c>
      <c r="F13" s="46" t="n">
        <f aca="false">E13*(1+Assumptions!C8)</f>
        <v>9729067.07542</v>
      </c>
      <c r="G13" s="46" t="n">
        <f aca="false">F13*(1+Assumptions!C8)</f>
        <v>10006345.4870695</v>
      </c>
      <c r="H13" s="46" t="n">
        <f aca="false">G13*(1+Assumptions!C8)</f>
        <v>10291526.333451</v>
      </c>
    </row>
    <row r="14" customFormat="false" ht="14.25" hidden="false" customHeight="true" outlineLevel="0" collapsed="false">
      <c r="B14" s="16" t="s">
        <v>98</v>
      </c>
      <c r="C14" s="46" t="s">
        <v>102</v>
      </c>
      <c r="D14" s="46" t="n">
        <f aca="false">Assumptions!C24</f>
        <v>192500</v>
      </c>
      <c r="E14" s="46" t="n">
        <f aca="false">Assumptions!C23</f>
        <v>785400</v>
      </c>
      <c r="F14" s="46" t="n">
        <f aca="false">E14*(1+Assumptions!C8)</f>
        <v>807783.9</v>
      </c>
      <c r="G14" s="46" t="n">
        <f aca="false">F14*(1+Assumptions!C8)</f>
        <v>830805.74115</v>
      </c>
      <c r="H14" s="46" t="n">
        <f aca="false">G14*(1+Assumptions!C8)</f>
        <v>854483.704772775</v>
      </c>
    </row>
    <row r="15" customFormat="false" ht="14.25" hidden="false" customHeight="true" outlineLevel="0" collapsed="false">
      <c r="B15" s="22" t="s">
        <v>103</v>
      </c>
      <c r="C15" s="43" t="n">
        <f aca="false">SUM(C12:C14)</f>
        <v>0</v>
      </c>
      <c r="D15" s="43" t="n">
        <f aca="false">SUM(D12:D14)</f>
        <v>8352094.635276</v>
      </c>
      <c r="E15" s="43" t="n">
        <f aca="false">SUM(E12:E14)</f>
        <v>22314673.444</v>
      </c>
      <c r="F15" s="43" t="n">
        <f aca="false">SUM(F12:F14)</f>
        <v>22950641.637154</v>
      </c>
      <c r="G15" s="43" t="n">
        <f aca="false">SUM(G12:G14)</f>
        <v>23604734.9238129</v>
      </c>
      <c r="H15" s="43" t="n">
        <f aca="false">SUM(H12:H14)</f>
        <v>24277469.8691416</v>
      </c>
    </row>
    <row r="16" customFormat="false" ht="14.25" hidden="false" customHeight="true" outlineLevel="0" collapsed="false">
      <c r="B16" s="14" t="s">
        <v>104</v>
      </c>
      <c r="C16" s="47" t="s">
        <v>105</v>
      </c>
      <c r="D16" s="47" t="s">
        <v>105</v>
      </c>
      <c r="E16" s="47" t="n">
        <f aca="false">E15/D15-1</f>
        <v>1.67174576180585</v>
      </c>
      <c r="F16" s="47" t="n">
        <f aca="false">F15/E15-1</f>
        <v>0.0284999999999997</v>
      </c>
      <c r="G16" s="47" t="n">
        <f aca="false">G15/F15-1</f>
        <v>0.0285</v>
      </c>
      <c r="H16" s="47" t="n">
        <f aca="false">H15/G15-1</f>
        <v>0.0285</v>
      </c>
    </row>
  </sheetData>
  <mergeCells count="3">
    <mergeCell ref="B1:H1"/>
    <mergeCell ref="A3:H3"/>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8" min="3" style="1" width="14"/>
  </cols>
  <sheetData>
    <row r="1" customFormat="false" ht="18" hidden="false" customHeight="true" outlineLevel="0" collapsed="false">
      <c r="B1" s="38" t="s">
        <v>106</v>
      </c>
      <c r="C1" s="38"/>
      <c r="D1" s="38"/>
      <c r="E1" s="38"/>
      <c r="F1" s="38"/>
      <c r="G1" s="38"/>
      <c r="H1" s="38"/>
    </row>
    <row r="3" customFormat="false" ht="14.25" hidden="false" customHeight="true" outlineLevel="0" collapsed="false">
      <c r="B3" s="44" t="s">
        <v>101</v>
      </c>
      <c r="C3" s="45" t="s">
        <v>47</v>
      </c>
      <c r="D3" s="45" t="s">
        <v>48</v>
      </c>
      <c r="E3" s="45" t="s">
        <v>49</v>
      </c>
      <c r="F3" s="45" t="s">
        <v>50</v>
      </c>
      <c r="G3" s="45" t="s">
        <v>51</v>
      </c>
      <c r="H3" s="45" t="s">
        <v>52</v>
      </c>
    </row>
    <row r="4" customFormat="false" ht="14.25" hidden="false" customHeight="true" outlineLevel="0" collapsed="false">
      <c r="B4" s="22" t="s">
        <v>103</v>
      </c>
      <c r="C4" s="48" t="n">
        <f aca="false">'Revenue Build'!C15</f>
        <v>0</v>
      </c>
      <c r="D4" s="48" t="n">
        <f aca="false">'Revenue Build'!D15</f>
        <v>8352094.635276</v>
      </c>
      <c r="E4" s="48" t="n">
        <f aca="false">'Revenue Build'!E15</f>
        <v>22314673.444</v>
      </c>
      <c r="F4" s="48" t="n">
        <f aca="false">'Revenue Build'!F15</f>
        <v>22950641.637154</v>
      </c>
      <c r="G4" s="48" t="n">
        <f aca="false">'Revenue Build'!G15</f>
        <v>23604734.9238129</v>
      </c>
      <c r="H4" s="48" t="n">
        <f aca="false">'Revenue Build'!H15</f>
        <v>24277469.8691416</v>
      </c>
    </row>
    <row r="5" customFormat="false" ht="14.25" hidden="false" customHeight="true" outlineLevel="0" collapsed="false">
      <c r="B5" s="16" t="s">
        <v>107</v>
      </c>
      <c r="C5" s="46" t="n">
        <f aca="false">-C4*Assumptions!C28</f>
        <v>-0</v>
      </c>
      <c r="D5" s="46" t="n">
        <f aca="false">-D4*Assumptions!D28</f>
        <v>-1426537.76370514</v>
      </c>
      <c r="E5" s="46" t="n">
        <f aca="false">-E4*Assumptions!E28</f>
        <v>-5694704.6629088</v>
      </c>
      <c r="F5" s="46" t="n">
        <f aca="false">-F4*Assumptions!F28</f>
        <v>-5868479.06662028</v>
      </c>
      <c r="G5" s="46" t="n">
        <f aca="false">-G4*Assumptions!G28</f>
        <v>-5971997.93572466</v>
      </c>
      <c r="H5" s="46" t="n">
        <f aca="false">-H4*Assumptions!H28</f>
        <v>-6110639.16606293</v>
      </c>
    </row>
    <row r="6" customFormat="false" ht="14.25" hidden="false" customHeight="true" outlineLevel="0" collapsed="false">
      <c r="B6" s="16" t="s">
        <v>108</v>
      </c>
      <c r="C6" s="46" t="n">
        <f aca="false">-C4*Assumptions!C29</f>
        <v>-0</v>
      </c>
      <c r="D6" s="46" t="n">
        <f aca="false">-D4*Assumptions!D29</f>
        <v>-1884232.54971827</v>
      </c>
      <c r="E6" s="46" t="n">
        <f aca="false">-E4*Assumptions!E29</f>
        <v>-3110665.4780936</v>
      </c>
      <c r="F6" s="46" t="n">
        <f aca="false">-F4*Assumptions!F29</f>
        <v>-3013419.24695832</v>
      </c>
      <c r="G6" s="46" t="n">
        <f aca="false">-G4*Assumptions!G29</f>
        <v>-3087499.32803473</v>
      </c>
      <c r="H6" s="46" t="n">
        <f aca="false">-H4*Assumptions!H29</f>
        <v>-3168209.81792297</v>
      </c>
    </row>
    <row r="7" customFormat="false" ht="14.25" hidden="false" customHeight="true" outlineLevel="0" collapsed="false">
      <c r="B7" s="49" t="s">
        <v>109</v>
      </c>
      <c r="C7" s="50" t="n">
        <f aca="false">C4+C5+C6</f>
        <v>0</v>
      </c>
      <c r="D7" s="50" t="n">
        <f aca="false">D4+D5+D6</f>
        <v>5041324.3218526</v>
      </c>
      <c r="E7" s="50" t="n">
        <f aca="false">E4+E5+E6</f>
        <v>13509303.3029976</v>
      </c>
      <c r="F7" s="50" t="n">
        <f aca="false">F4+F5+F6</f>
        <v>14068743.3235754</v>
      </c>
      <c r="G7" s="50" t="n">
        <f aca="false">G4+G5+G6</f>
        <v>14545237.6600535</v>
      </c>
      <c r="H7" s="50" t="n">
        <f aca="false">H4+H5+H6</f>
        <v>14998620.8851557</v>
      </c>
    </row>
    <row r="8" customFormat="false" ht="14.25" hidden="false" customHeight="true" outlineLevel="0" collapsed="false">
      <c r="B8" s="14" t="s">
        <v>110</v>
      </c>
      <c r="C8" s="47" t="str">
        <f aca="false">IFERROR(C7/C4,"n/a")</f>
        <v>n/a</v>
      </c>
      <c r="D8" s="47" t="n">
        <f aca="false">IFERROR(D7/D4,"n/a")</f>
        <v>0.6036</v>
      </c>
      <c r="E8" s="47" t="n">
        <f aca="false">IFERROR(E7/E4,"n/a")</f>
        <v>0.6054</v>
      </c>
      <c r="F8" s="47" t="n">
        <f aca="false">IFERROR(F7/F4,"n/a")</f>
        <v>0.613</v>
      </c>
      <c r="G8" s="47" t="n">
        <f aca="false">IFERROR(G7/G4,"n/a")</f>
        <v>0.6162</v>
      </c>
      <c r="H8" s="47" t="n">
        <f aca="false">IFERROR(H7/H4,"n/a")</f>
        <v>0.6178</v>
      </c>
    </row>
    <row r="9" customFormat="false" ht="14.25" hidden="false" customHeight="true" outlineLevel="0" collapsed="false">
      <c r="B9" s="16" t="s">
        <v>111</v>
      </c>
      <c r="C9" s="41" t="n">
        <f aca="false">-Assumptions!C30</f>
        <v>-0</v>
      </c>
      <c r="D9" s="41" t="n">
        <f aca="false">-Assumptions!D30</f>
        <v>-743221</v>
      </c>
      <c r="E9" s="41" t="n">
        <f aca="false">-Assumptions!E30</f>
        <v>-2972884</v>
      </c>
      <c r="F9" s="41" t="n">
        <f aca="false">-Assumptions!F30</f>
        <v>-2981426</v>
      </c>
      <c r="G9" s="41" t="n">
        <f aca="false">-Assumptions!G30</f>
        <v>-2969593</v>
      </c>
      <c r="H9" s="41" t="n">
        <f aca="false">-Assumptions!H30</f>
        <v>-2930009</v>
      </c>
    </row>
    <row r="10" customFormat="false" ht="14.25" hidden="false" customHeight="true" outlineLevel="0" collapsed="false">
      <c r="B10" s="18" t="s">
        <v>112</v>
      </c>
      <c r="C10" s="42" t="n">
        <f aca="false">C7+C9</f>
        <v>0</v>
      </c>
      <c r="D10" s="42" t="n">
        <f aca="false">D7+D9</f>
        <v>4298103.3218526</v>
      </c>
      <c r="E10" s="42" t="n">
        <f aca="false">E7+E9</f>
        <v>10536419.3029976</v>
      </c>
      <c r="F10" s="42" t="n">
        <f aca="false">F7+F9</f>
        <v>11087317.3235754</v>
      </c>
      <c r="G10" s="42" t="n">
        <f aca="false">G7+G9</f>
        <v>11575644.6600535</v>
      </c>
      <c r="H10" s="42" t="n">
        <f aca="false">H7+H9</f>
        <v>12068611.8851557</v>
      </c>
    </row>
    <row r="11" customFormat="false" ht="14.25" hidden="false" customHeight="true" outlineLevel="0" collapsed="false">
      <c r="B11" s="16" t="s">
        <v>113</v>
      </c>
      <c r="C11" s="41" t="n">
        <f aca="false">'Debt &amp; Capital'!C44</f>
        <v>-0</v>
      </c>
      <c r="D11" s="41" t="n">
        <f aca="false">'Debt &amp; Capital'!D44</f>
        <v>-4380000</v>
      </c>
      <c r="E11" s="41" t="n">
        <f aca="false">'Debt &amp; Capital'!E44</f>
        <v>-4267423.39440923</v>
      </c>
      <c r="F11" s="41" t="n">
        <f aca="false">'Debt &amp; Capital'!F44</f>
        <v>-3977277.77734324</v>
      </c>
      <c r="G11" s="41" t="n">
        <f aca="false">'Debt &amp; Capital'!G44</f>
        <v>-3508749.78282664</v>
      </c>
      <c r="H11" s="41" t="n">
        <f aca="false">'Debt &amp; Capital'!H44</f>
        <v>-3028956.90877613</v>
      </c>
    </row>
    <row r="12" customFormat="false" ht="14.25" hidden="false" customHeight="true" outlineLevel="0" collapsed="false">
      <c r="B12" s="18" t="s">
        <v>114</v>
      </c>
      <c r="C12" s="42" t="n">
        <f aca="false">C10+C11</f>
        <v>0</v>
      </c>
      <c r="D12" s="42" t="n">
        <f aca="false">D10+D11</f>
        <v>-81896.6781474054</v>
      </c>
      <c r="E12" s="42" t="n">
        <f aca="false">E10+E11</f>
        <v>6268995.90858838</v>
      </c>
      <c r="F12" s="42" t="n">
        <f aca="false">F10+F11</f>
        <v>7110039.54623217</v>
      </c>
      <c r="G12" s="42" t="n">
        <f aca="false">G10+G11</f>
        <v>8066894.87722687</v>
      </c>
      <c r="H12" s="42" t="n">
        <f aca="false">H10+H11</f>
        <v>9039654.97637953</v>
      </c>
    </row>
    <row r="14" customFormat="false" ht="14.25" hidden="false" customHeight="true" outlineLevel="0" collapsed="false">
      <c r="B14" s="14" t="s">
        <v>115</v>
      </c>
      <c r="C14" s="51" t="str">
        <f aca="false">IFERROR(-C7/C11,"n/a")</f>
        <v>n/a</v>
      </c>
      <c r="D14" s="51" t="n">
        <f aca="false">IFERROR(-D7/D11,"n/a")</f>
        <v>1.1509872880942</v>
      </c>
      <c r="E14" s="51" t="n">
        <f aca="false">IFERROR(-E7/E11,"n/a")</f>
        <v>3.16568150249544</v>
      </c>
      <c r="F14" s="51" t="n">
        <f aca="false">IFERROR(-F7/F11,"n/a")</f>
        <v>3.53727954424474</v>
      </c>
      <c r="G14" s="51" t="n">
        <f aca="false">IFERROR(-G7/G11,"n/a")</f>
        <v>4.14541889856162</v>
      </c>
      <c r="H14" s="51" t="n">
        <f aca="false">IFERROR(-H7/H11,"n/a")</f>
        <v>4.95174455658267</v>
      </c>
    </row>
  </sheetData>
  <mergeCells count="1">
    <mergeCell ref="B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8" min="3" style="1" width="14"/>
    <col collapsed="false" customWidth="true" hidden="false" outlineLevel="0" max="11" min="10" style="1" width="14"/>
  </cols>
  <sheetData>
    <row r="1" customFormat="false" ht="18" hidden="false" customHeight="true" outlineLevel="0" collapsed="false">
      <c r="A1" s="25"/>
      <c r="B1" s="13" t="s">
        <v>116</v>
      </c>
      <c r="C1" s="25"/>
      <c r="D1" s="25"/>
      <c r="E1" s="25"/>
      <c r="F1" s="25"/>
      <c r="G1" s="25"/>
      <c r="H1" s="25"/>
    </row>
    <row r="2" customFormat="false" ht="14.25" hidden="false" customHeight="true" outlineLevel="0" collapsed="false">
      <c r="A2" s="25"/>
      <c r="B2" s="25"/>
      <c r="C2" s="25"/>
      <c r="D2" s="25"/>
      <c r="E2" s="25"/>
      <c r="F2" s="25"/>
      <c r="G2" s="25"/>
      <c r="H2" s="25"/>
    </row>
    <row r="3" customFormat="false" ht="19.5" hidden="false" customHeight="true" outlineLevel="0" collapsed="false">
      <c r="A3" s="24" t="s">
        <v>117</v>
      </c>
      <c r="B3" s="25"/>
      <c r="C3" s="25"/>
      <c r="D3" s="25"/>
      <c r="E3" s="25"/>
      <c r="F3" s="25"/>
      <c r="G3" s="25"/>
      <c r="H3" s="25"/>
    </row>
    <row r="4" customFormat="false" ht="14.25" hidden="false" customHeight="true" outlineLevel="0" collapsed="false">
      <c r="A4" s="25"/>
      <c r="B4" s="6" t="s">
        <v>57</v>
      </c>
      <c r="C4" s="25"/>
      <c r="D4" s="52" t="n">
        <f aca="false">Assumptions!C33</f>
        <v>10000000</v>
      </c>
      <c r="E4" s="25"/>
      <c r="F4" s="25"/>
      <c r="G4" s="25"/>
      <c r="H4" s="25"/>
    </row>
    <row r="5" customFormat="false" ht="14.25" hidden="false" customHeight="true" outlineLevel="0" collapsed="false">
      <c r="A5" s="25"/>
      <c r="B5" s="6" t="s">
        <v>58</v>
      </c>
      <c r="C5" s="25"/>
      <c r="D5" s="52" t="n">
        <f aca="false">Assumptions!C34</f>
        <v>10000000</v>
      </c>
      <c r="E5" s="25"/>
      <c r="F5" s="25"/>
      <c r="G5" s="25"/>
      <c r="H5" s="25"/>
    </row>
    <row r="6" customFormat="false" ht="14.25" hidden="false" customHeight="true" outlineLevel="0" collapsed="false">
      <c r="A6" s="25"/>
      <c r="B6" s="6" t="s">
        <v>118</v>
      </c>
      <c r="C6" s="25"/>
      <c r="D6" s="52" t="n">
        <f aca="false">Assumptions!C35</f>
        <v>5000000</v>
      </c>
      <c r="E6" s="25"/>
      <c r="F6" s="25"/>
      <c r="G6" s="25"/>
      <c r="H6" s="25"/>
    </row>
    <row r="7" customFormat="false" ht="14.25" hidden="false" customHeight="true" outlineLevel="0" collapsed="false">
      <c r="A7" s="25"/>
      <c r="B7" s="16" t="s">
        <v>119</v>
      </c>
      <c r="C7" s="25"/>
      <c r="D7" s="36" t="n">
        <f aca="false">Assumptions!C37</f>
        <v>40000000</v>
      </c>
      <c r="E7" s="25"/>
      <c r="F7" s="25"/>
      <c r="G7" s="25"/>
      <c r="H7" s="25"/>
    </row>
    <row r="8" customFormat="false" ht="14.25" hidden="false" customHeight="true" outlineLevel="0" collapsed="false">
      <c r="A8" s="25"/>
      <c r="B8" s="16" t="s">
        <v>120</v>
      </c>
      <c r="C8" s="25"/>
      <c r="D8" s="36" t="n">
        <f aca="false">Assumptions!C39</f>
        <v>12000000</v>
      </c>
      <c r="E8" s="25"/>
      <c r="F8" s="25"/>
      <c r="G8" s="25"/>
      <c r="H8" s="25"/>
    </row>
    <row r="9" customFormat="false" ht="19.5" hidden="false" customHeight="true" outlineLevel="0" collapsed="false">
      <c r="A9" s="28"/>
      <c r="B9" s="18" t="s">
        <v>121</v>
      </c>
      <c r="C9" s="25"/>
      <c r="D9" s="53" t="n">
        <f aca="false">SUM(D4:D8)</f>
        <v>77000000</v>
      </c>
      <c r="E9" s="25"/>
      <c r="F9" s="25"/>
      <c r="G9" s="25"/>
      <c r="H9" s="25"/>
    </row>
    <row r="10" customFormat="false" ht="14.25" hidden="false" customHeight="true" outlineLevel="0" collapsed="false">
      <c r="A10" s="25"/>
      <c r="B10" s="54"/>
      <c r="C10" s="25"/>
      <c r="D10" s="55"/>
      <c r="E10" s="25"/>
      <c r="F10" s="25"/>
      <c r="G10" s="25"/>
      <c r="H10" s="25"/>
    </row>
    <row r="11" customFormat="false" ht="14.25" hidden="false" customHeight="true" outlineLevel="0" collapsed="false">
      <c r="A11" s="24" t="s">
        <v>122</v>
      </c>
      <c r="B11" s="54"/>
      <c r="C11" s="25"/>
      <c r="D11" s="55"/>
      <c r="E11" s="25"/>
      <c r="F11" s="25"/>
      <c r="G11" s="25"/>
      <c r="H11" s="25"/>
    </row>
    <row r="12" customFormat="false" ht="14.25" hidden="false" customHeight="true" outlineLevel="0" collapsed="false">
      <c r="A12" s="25"/>
      <c r="B12" s="6" t="s">
        <v>123</v>
      </c>
      <c r="C12" s="25"/>
      <c r="D12" s="56" t="n">
        <v>47567802</v>
      </c>
      <c r="E12" s="25"/>
      <c r="F12" s="25"/>
      <c r="G12" s="25"/>
      <c r="H12" s="25"/>
    </row>
    <row r="13" customFormat="false" ht="14.25" hidden="false" customHeight="true" outlineLevel="0" collapsed="false">
      <c r="A13" s="25"/>
      <c r="B13" s="6" t="s">
        <v>124</v>
      </c>
      <c r="C13" s="25"/>
      <c r="D13" s="56" t="n">
        <v>8396438</v>
      </c>
      <c r="E13" s="25"/>
      <c r="F13" s="25"/>
      <c r="G13" s="25"/>
      <c r="H13" s="25"/>
    </row>
    <row r="14" customFormat="false" ht="14.25" hidden="false" customHeight="true" outlineLevel="0" collapsed="false">
      <c r="A14" s="25"/>
      <c r="B14" s="6" t="s">
        <v>125</v>
      </c>
      <c r="C14" s="25"/>
      <c r="D14" s="56" t="n">
        <v>5650000</v>
      </c>
      <c r="E14" s="25"/>
      <c r="F14" s="25"/>
      <c r="G14" s="25"/>
      <c r="H14" s="25"/>
    </row>
    <row r="15" customFormat="false" ht="14.25" hidden="false" customHeight="true" outlineLevel="0" collapsed="false">
      <c r="A15" s="25"/>
      <c r="B15" s="6" t="s">
        <v>126</v>
      </c>
      <c r="C15" s="25"/>
      <c r="D15" s="56" t="n">
        <v>6203674</v>
      </c>
      <c r="E15" s="25"/>
      <c r="F15" s="25"/>
      <c r="G15" s="25"/>
      <c r="H15" s="25"/>
    </row>
    <row r="16" customFormat="false" ht="14.25" hidden="false" customHeight="true" outlineLevel="0" collapsed="false">
      <c r="A16" s="25"/>
      <c r="B16" s="6" t="s">
        <v>127</v>
      </c>
      <c r="C16" s="25"/>
      <c r="D16" s="56" t="n">
        <v>2800000</v>
      </c>
      <c r="E16" s="25"/>
      <c r="F16" s="25"/>
      <c r="G16" s="25"/>
      <c r="H16" s="25"/>
    </row>
    <row r="17" customFormat="false" ht="14.25" hidden="false" customHeight="true" outlineLevel="0" collapsed="false">
      <c r="A17" s="25"/>
      <c r="B17" s="6" t="s">
        <v>128</v>
      </c>
      <c r="C17" s="25"/>
      <c r="D17" s="56" t="n">
        <v>200000</v>
      </c>
      <c r="E17" s="25"/>
      <c r="F17" s="25"/>
      <c r="G17" s="25"/>
      <c r="H17" s="25"/>
    </row>
    <row r="18" customFormat="false" ht="14.25" hidden="false" customHeight="true" outlineLevel="0" collapsed="false">
      <c r="A18" s="25"/>
      <c r="B18" s="6" t="s">
        <v>129</v>
      </c>
      <c r="C18" s="25"/>
      <c r="D18" s="56" t="n">
        <v>172500</v>
      </c>
      <c r="E18" s="25"/>
      <c r="F18" s="25"/>
      <c r="G18" s="25"/>
      <c r="H18" s="25"/>
    </row>
    <row r="19" customFormat="false" ht="14.25" hidden="false" customHeight="true" outlineLevel="0" collapsed="false">
      <c r="A19" s="25"/>
      <c r="B19" s="6" t="s">
        <v>130</v>
      </c>
      <c r="C19" s="25"/>
      <c r="D19" s="56" t="n">
        <v>150000</v>
      </c>
      <c r="E19" s="25"/>
      <c r="F19" s="25"/>
      <c r="G19" s="25"/>
      <c r="H19" s="25"/>
    </row>
    <row r="20" customFormat="false" ht="14.25" hidden="false" customHeight="true" outlineLevel="0" collapsed="false">
      <c r="A20" s="25"/>
      <c r="B20" s="6" t="s">
        <v>131</v>
      </c>
      <c r="C20" s="25"/>
      <c r="D20" s="56" t="n">
        <v>150000</v>
      </c>
      <c r="E20" s="25"/>
      <c r="F20" s="25"/>
      <c r="G20" s="25"/>
      <c r="H20" s="25"/>
    </row>
    <row r="21" customFormat="false" ht="14.25" hidden="false" customHeight="true" outlineLevel="0" collapsed="false">
      <c r="A21" s="25"/>
      <c r="B21" s="6" t="s">
        <v>132</v>
      </c>
      <c r="C21" s="25"/>
      <c r="D21" s="56" t="n">
        <v>50000</v>
      </c>
      <c r="E21" s="25"/>
      <c r="F21" s="25"/>
      <c r="G21" s="25"/>
      <c r="H21" s="25"/>
    </row>
    <row r="22" customFormat="false" ht="14.25" hidden="false" customHeight="true" outlineLevel="0" collapsed="false">
      <c r="A22" s="25"/>
      <c r="B22" s="6" t="s">
        <v>133</v>
      </c>
      <c r="C22" s="25"/>
      <c r="D22" s="56" t="n">
        <v>550000</v>
      </c>
      <c r="E22" s="25"/>
      <c r="F22" s="25"/>
      <c r="G22" s="25"/>
      <c r="H22" s="25"/>
    </row>
    <row r="23" customFormat="false" ht="14.25" hidden="false" customHeight="true" outlineLevel="0" collapsed="false">
      <c r="A23" s="25"/>
      <c r="B23" s="16" t="s">
        <v>134</v>
      </c>
      <c r="C23" s="25"/>
      <c r="D23" s="37" t="n">
        <f aca="false">D9-SUM(D12:D22)</f>
        <v>5109586</v>
      </c>
      <c r="E23" s="25"/>
      <c r="F23" s="25"/>
      <c r="G23" s="25"/>
      <c r="H23" s="25"/>
    </row>
    <row r="24" customFormat="false" ht="14.25" hidden="false" customHeight="true" outlineLevel="0" collapsed="false">
      <c r="A24" s="25"/>
      <c r="B24" s="18" t="s">
        <v>135</v>
      </c>
      <c r="C24" s="25"/>
      <c r="D24" s="53" t="n">
        <f aca="false">SUM(D12:D23)</f>
        <v>77000000</v>
      </c>
      <c r="E24" s="25"/>
      <c r="F24" s="25"/>
      <c r="G24" s="25"/>
      <c r="H24" s="25"/>
    </row>
    <row r="25" customFormat="false" ht="14.25" hidden="false" customHeight="true" outlineLevel="0" collapsed="false">
      <c r="A25" s="25"/>
      <c r="B25" s="16" t="s">
        <v>136</v>
      </c>
      <c r="C25" s="25"/>
      <c r="D25" s="37" t="n">
        <f aca="false">D9-D24</f>
        <v>0</v>
      </c>
      <c r="E25" s="25"/>
      <c r="F25" s="25"/>
      <c r="G25" s="25"/>
      <c r="H25" s="25"/>
    </row>
    <row r="26" customFormat="false" ht="19.5" hidden="false" customHeight="true" outlineLevel="0" collapsed="false">
      <c r="A26" s="28"/>
      <c r="B26" s="25"/>
      <c r="C26" s="25"/>
      <c r="D26" s="25"/>
      <c r="E26" s="25"/>
      <c r="F26" s="25"/>
      <c r="G26" s="25"/>
      <c r="H26" s="25"/>
    </row>
    <row r="27" customFormat="false" ht="14.25" hidden="false" customHeight="true" outlineLevel="0" collapsed="false">
      <c r="A27" s="24" t="s">
        <v>137</v>
      </c>
      <c r="B27" s="25"/>
      <c r="C27" s="57"/>
      <c r="D27" s="57"/>
      <c r="E27" s="57"/>
      <c r="F27" s="57"/>
      <c r="G27" s="57"/>
      <c r="H27" s="57"/>
    </row>
    <row r="28" customFormat="false" ht="14.25" hidden="false" customHeight="true" outlineLevel="0" collapsed="false">
      <c r="A28" s="25"/>
      <c r="B28" s="44" t="s">
        <v>101</v>
      </c>
      <c r="C28" s="45" t="s">
        <v>47</v>
      </c>
      <c r="D28" s="45" t="s">
        <v>48</v>
      </c>
      <c r="E28" s="45" t="s">
        <v>49</v>
      </c>
      <c r="F28" s="45" t="s">
        <v>50</v>
      </c>
      <c r="G28" s="45" t="s">
        <v>51</v>
      </c>
      <c r="H28" s="45" t="s">
        <v>52</v>
      </c>
    </row>
    <row r="29" customFormat="false" ht="14.25" hidden="false" customHeight="true" outlineLevel="0" collapsed="false">
      <c r="A29" s="25"/>
      <c r="B29" s="16" t="s">
        <v>138</v>
      </c>
      <c r="C29" s="30" t="n">
        <v>0</v>
      </c>
      <c r="D29" s="30" t="n">
        <f aca="false">Assumptions!C37</f>
        <v>40000000</v>
      </c>
      <c r="E29" s="30" t="n">
        <f aca="false">D31</f>
        <v>40000000</v>
      </c>
      <c r="F29" s="30" t="n">
        <f aca="false">E31</f>
        <v>40000000</v>
      </c>
      <c r="G29" s="30" t="n">
        <f aca="false">F31</f>
        <v>36000000</v>
      </c>
      <c r="H29" s="30" t="n">
        <f aca="false">G31</f>
        <v>32000000</v>
      </c>
    </row>
    <row r="30" customFormat="false" ht="14.25" hidden="false" customHeight="true" outlineLevel="0" collapsed="false">
      <c r="A30" s="25"/>
      <c r="B30" s="16" t="s">
        <v>139</v>
      </c>
      <c r="C30" s="21" t="n">
        <v>0</v>
      </c>
      <c r="D30" s="21" t="n">
        <v>0</v>
      </c>
      <c r="E30" s="21" t="n">
        <v>0</v>
      </c>
      <c r="F30" s="21" t="n">
        <v>4000000</v>
      </c>
      <c r="G30" s="21" t="n">
        <v>4000000</v>
      </c>
      <c r="H30" s="21" t="n">
        <v>4000000</v>
      </c>
    </row>
    <row r="31" customFormat="false" ht="14.25" hidden="false" customHeight="true" outlineLevel="0" collapsed="false">
      <c r="A31" s="25"/>
      <c r="B31" s="16" t="s">
        <v>140</v>
      </c>
      <c r="C31" s="30" t="n">
        <f aca="false">C29-C30</f>
        <v>0</v>
      </c>
      <c r="D31" s="30" t="n">
        <f aca="false">D29-D30</f>
        <v>40000000</v>
      </c>
      <c r="E31" s="30" t="n">
        <f aca="false">E29-E30</f>
        <v>40000000</v>
      </c>
      <c r="F31" s="30" t="n">
        <f aca="false">F29-F30</f>
        <v>36000000</v>
      </c>
      <c r="G31" s="30" t="n">
        <f aca="false">G29-G30</f>
        <v>32000000</v>
      </c>
      <c r="H31" s="30" t="n">
        <f aca="false">H29-H30</f>
        <v>28000000</v>
      </c>
    </row>
    <row r="32" customFormat="false" ht="14.25" hidden="false" customHeight="true" outlineLevel="0" collapsed="false">
      <c r="A32" s="25"/>
      <c r="B32" s="16" t="s">
        <v>141</v>
      </c>
      <c r="C32" s="37" t="n">
        <v>0</v>
      </c>
      <c r="D32" s="37" t="n">
        <f aca="false">(D29+D31)/2*Assumptions!C38</f>
        <v>3360000</v>
      </c>
      <c r="E32" s="37" t="n">
        <f aca="false">(E29+E31)/2*Assumptions!C38</f>
        <v>3360000</v>
      </c>
      <c r="F32" s="37" t="n">
        <f aca="false">(F29+F31)/2*Assumptions!C38</f>
        <v>3192000</v>
      </c>
      <c r="G32" s="37" t="n">
        <f aca="false">(G29+G31)/2*Assumptions!C38</f>
        <v>2856000</v>
      </c>
      <c r="H32" s="37" t="n">
        <f aca="false">(H29+H31)/2*Assumptions!C38</f>
        <v>2520000</v>
      </c>
    </row>
    <row r="33" customFormat="false" ht="14.25" hidden="false" customHeight="true" outlineLevel="0" collapsed="false">
      <c r="A33" s="25"/>
      <c r="B33" s="25"/>
      <c r="C33" s="58"/>
      <c r="D33" s="58"/>
      <c r="E33" s="58"/>
      <c r="F33" s="58"/>
      <c r="G33" s="58"/>
      <c r="H33" s="58"/>
    </row>
    <row r="34" customFormat="false" ht="14.25" hidden="false" customHeight="true" outlineLevel="0" collapsed="false">
      <c r="A34" s="24" t="s">
        <v>142</v>
      </c>
    </row>
    <row r="35" customFormat="false" ht="14.25" hidden="false" customHeight="true" outlineLevel="0" collapsed="false">
      <c r="B35" s="44" t="s">
        <v>101</v>
      </c>
      <c r="C35" s="40" t="s">
        <v>47</v>
      </c>
      <c r="D35" s="40" t="s">
        <v>48</v>
      </c>
      <c r="E35" s="40" t="s">
        <v>49</v>
      </c>
      <c r="F35" s="40" t="s">
        <v>50</v>
      </c>
      <c r="G35" s="40" t="s">
        <v>51</v>
      </c>
      <c r="H35" s="40" t="s">
        <v>52</v>
      </c>
    </row>
    <row r="36" customFormat="false" ht="14.25" hidden="false" customHeight="true" outlineLevel="0" collapsed="false">
      <c r="B36" s="16" t="s">
        <v>138</v>
      </c>
      <c r="C36" s="37" t="n">
        <v>0</v>
      </c>
      <c r="D36" s="37" t="n">
        <f aca="false">Assumptions!C39</f>
        <v>12000000</v>
      </c>
      <c r="E36" s="37" t="n">
        <f aca="false">D40</f>
        <v>10675569.3459909</v>
      </c>
      <c r="F36" s="37" t="n">
        <f aca="false">E40</f>
        <v>9238562.08639101</v>
      </c>
      <c r="G36" s="37" t="n">
        <f aca="false">F40</f>
        <v>7679409.20972514</v>
      </c>
      <c r="H36" s="37" t="n">
        <f aca="false">G40</f>
        <v>5987728.33854267</v>
      </c>
    </row>
    <row r="37" customFormat="false" ht="14.25" hidden="false" customHeight="true" outlineLevel="0" collapsed="false">
      <c r="B37" s="16" t="s">
        <v>143</v>
      </c>
      <c r="C37" s="37" t="n">
        <v>0</v>
      </c>
      <c r="D37" s="37" t="n">
        <f aca="false">-PMT(Assumptions!C40,Assumptions!C41,Assumptions!C39)</f>
        <v>2344430.65400911</v>
      </c>
      <c r="E37" s="37" t="n">
        <f aca="false">-PMT(Assumptions!C40,Assumptions!C41,Assumptions!C39)</f>
        <v>2344430.65400911</v>
      </c>
      <c r="F37" s="37" t="n">
        <f aca="false">-PMT(Assumptions!C40,Assumptions!C41,Assumptions!C39)</f>
        <v>2344430.65400911</v>
      </c>
      <c r="G37" s="37" t="n">
        <f aca="false">-PMT(Assumptions!C40,Assumptions!C41,Assumptions!C39)</f>
        <v>2344430.65400911</v>
      </c>
      <c r="H37" s="37" t="n">
        <f aca="false">-PMT(Assumptions!C40,Assumptions!C41,Assumptions!C39)</f>
        <v>2344430.65400911</v>
      </c>
    </row>
    <row r="38" customFormat="false" ht="14.25" hidden="false" customHeight="true" outlineLevel="0" collapsed="false">
      <c r="B38" s="16" t="s">
        <v>144</v>
      </c>
      <c r="C38" s="37" t="n">
        <v>0</v>
      </c>
      <c r="D38" s="37" t="n">
        <f aca="false">D36*Assumptions!C40</f>
        <v>1020000</v>
      </c>
      <c r="E38" s="37" t="n">
        <f aca="false">E36*Assumptions!C40</f>
        <v>907423.394409226</v>
      </c>
      <c r="F38" s="37" t="n">
        <f aca="false">F36*Assumptions!C40</f>
        <v>785277.777343236</v>
      </c>
      <c r="G38" s="37" t="n">
        <f aca="false">G36*Assumptions!C40</f>
        <v>652749.782826637</v>
      </c>
      <c r="H38" s="37" t="n">
        <f aca="false">H36*Assumptions!C40</f>
        <v>508956.908776127</v>
      </c>
    </row>
    <row r="39" customFormat="false" ht="14.25" hidden="false" customHeight="true" outlineLevel="0" collapsed="false">
      <c r="B39" s="16" t="s">
        <v>145</v>
      </c>
      <c r="C39" s="37" t="n">
        <v>0</v>
      </c>
      <c r="D39" s="37" t="n">
        <f aca="false">D37-D38</f>
        <v>1324430.65400911</v>
      </c>
      <c r="E39" s="37" t="n">
        <f aca="false">E37-E38</f>
        <v>1437007.25959988</v>
      </c>
      <c r="F39" s="37" t="n">
        <f aca="false">F37-F38</f>
        <v>1559152.87666587</v>
      </c>
      <c r="G39" s="37" t="n">
        <f aca="false">G37-G38</f>
        <v>1691680.87118247</v>
      </c>
      <c r="H39" s="37" t="n">
        <f aca="false">H37-H38</f>
        <v>1835473.74523298</v>
      </c>
    </row>
    <row r="40" customFormat="false" ht="14.25" hidden="false" customHeight="true" outlineLevel="0" collapsed="false">
      <c r="B40" s="16" t="s">
        <v>140</v>
      </c>
      <c r="C40" s="37" t="n">
        <f aca="false">C36-C39</f>
        <v>0</v>
      </c>
      <c r="D40" s="37" t="n">
        <f aca="false">D36-D39</f>
        <v>10675569.3459909</v>
      </c>
      <c r="E40" s="37" t="n">
        <f aca="false">E36-E39</f>
        <v>9238562.08639101</v>
      </c>
      <c r="F40" s="37" t="n">
        <f aca="false">F36-F39</f>
        <v>7679409.20972514</v>
      </c>
      <c r="G40" s="37" t="n">
        <f aca="false">G36-G39</f>
        <v>5987728.33854267</v>
      </c>
      <c r="H40" s="37" t="n">
        <f aca="false">H36-H39</f>
        <v>4152254.59330968</v>
      </c>
    </row>
    <row r="42" customFormat="false" ht="14.25" hidden="false" customHeight="true" outlineLevel="0" collapsed="false">
      <c r="A42" s="24" t="s">
        <v>146</v>
      </c>
    </row>
    <row r="43" customFormat="false" ht="14.25" hidden="false" customHeight="true" outlineLevel="0" collapsed="false">
      <c r="B43" s="44" t="s">
        <v>101</v>
      </c>
      <c r="C43" s="40" t="s">
        <v>47</v>
      </c>
      <c r="D43" s="40" t="s">
        <v>48</v>
      </c>
      <c r="E43" s="40" t="s">
        <v>49</v>
      </c>
      <c r="F43" s="40" t="s">
        <v>50</v>
      </c>
      <c r="G43" s="40" t="s">
        <v>51</v>
      </c>
      <c r="H43" s="40" t="s">
        <v>52</v>
      </c>
    </row>
    <row r="44" customFormat="false" ht="14.25" hidden="false" customHeight="true" outlineLevel="0" collapsed="false">
      <c r="B44" s="16" t="s">
        <v>147</v>
      </c>
      <c r="C44" s="37" t="n">
        <f aca="false">-(C32+C38)</f>
        <v>-0</v>
      </c>
      <c r="D44" s="37" t="n">
        <f aca="false">-(D32+D38)</f>
        <v>-4380000</v>
      </c>
      <c r="E44" s="37" t="n">
        <f aca="false">-(E32+E38)</f>
        <v>-4267423.39440923</v>
      </c>
      <c r="F44" s="37" t="n">
        <f aca="false">-(F32+F38)</f>
        <v>-3977277.77734324</v>
      </c>
      <c r="G44" s="37" t="n">
        <f aca="false">-(G32+G38)</f>
        <v>-3508749.78282664</v>
      </c>
      <c r="H44" s="37" t="n">
        <f aca="false">-(H32+H38)</f>
        <v>-3028956.90877613</v>
      </c>
    </row>
    <row r="45" customFormat="false" ht="14.25" hidden="false" customHeight="true" outlineLevel="0" collapsed="false">
      <c r="B45" s="16" t="s">
        <v>148</v>
      </c>
      <c r="C45" s="37" t="n">
        <f aca="false">C31+C40</f>
        <v>0</v>
      </c>
      <c r="D45" s="37" t="n">
        <f aca="false">D31+D40</f>
        <v>50675569.3459909</v>
      </c>
      <c r="E45" s="37" t="n">
        <f aca="false">E31+E40</f>
        <v>49238562.086391</v>
      </c>
      <c r="F45" s="37" t="n">
        <f aca="false">F31+F40</f>
        <v>43679409.2097251</v>
      </c>
      <c r="G45" s="37" t="n">
        <f aca="false">G31+G40</f>
        <v>37987728.3385427</v>
      </c>
      <c r="H45" s="37" t="n">
        <f aca="false">H31+H40</f>
        <v>32152254.5933097</v>
      </c>
    </row>
    <row r="46" customFormat="false" ht="14.25" hidden="false" customHeight="true" outlineLevel="0" collapsed="false">
      <c r="B46" s="16" t="s">
        <v>149</v>
      </c>
      <c r="C46" s="37" t="n">
        <f aca="false">-(C30+C39)</f>
        <v>-0</v>
      </c>
      <c r="D46" s="37" t="n">
        <f aca="false">-(D30+D39)</f>
        <v>-1324430.65400911</v>
      </c>
      <c r="E46" s="37" t="n">
        <f aca="false">-(E30+E39)</f>
        <v>-1437007.25959988</v>
      </c>
      <c r="F46" s="37" t="n">
        <f aca="false">-(F30+F39)</f>
        <v>-5559152.87666587</v>
      </c>
      <c r="G46" s="37" t="n">
        <f aca="false">-(G30+G39)</f>
        <v>-5691680.87118247</v>
      </c>
      <c r="H46" s="37" t="n">
        <f aca="false">-(H30+H39)</f>
        <v>-5835473.74523298</v>
      </c>
    </row>
    <row r="47" customFormat="false" ht="14.25" hidden="false" customHeight="true" outlineLevel="0" collapsed="false">
      <c r="B47" s="18" t="s">
        <v>150</v>
      </c>
      <c r="C47" s="59" t="s">
        <v>105</v>
      </c>
      <c r="D47" s="60" t="n">
        <f aca="false">IFERROR('P&amp;L'!D7/(-D44-D46),"n/a")</f>
        <v>0.883755913188203</v>
      </c>
      <c r="E47" s="60" t="n">
        <f aca="false">IFERROR('P&amp;L'!E7/(-E44-E46),"n/a")</f>
        <v>2.36821238128352</v>
      </c>
      <c r="F47" s="60" t="n">
        <f aca="false">IFERROR('P&amp;L'!F7/(-F44-F46),"n/a")</f>
        <v>1.4752630028994</v>
      </c>
      <c r="G47" s="60" t="n">
        <f aca="false">IFERROR('P&amp;L'!G7/(-G44-G46),"n/a")</f>
        <v>1.58093008980133</v>
      </c>
      <c r="H47" s="60" t="n">
        <f aca="false">IFERROR('P&amp;L'!H7/(-H44-H46),"n/a")</f>
        <v>1.69200047589884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8" min="3" style="1" width="14"/>
  </cols>
  <sheetData>
    <row r="1" customFormat="false" ht="18" hidden="false" customHeight="true" outlineLevel="0" collapsed="false">
      <c r="A1" s="25"/>
      <c r="B1" s="38" t="s">
        <v>151</v>
      </c>
      <c r="C1" s="38"/>
      <c r="D1" s="38"/>
      <c r="E1" s="38"/>
      <c r="F1" s="38"/>
      <c r="G1" s="38"/>
      <c r="H1" s="38"/>
    </row>
    <row r="2" customFormat="false" ht="14.25" hidden="false" customHeight="true" outlineLevel="0" collapsed="false">
      <c r="A2" s="25"/>
      <c r="B2" s="61" t="s">
        <v>152</v>
      </c>
      <c r="C2" s="61"/>
      <c r="D2" s="61"/>
      <c r="E2" s="61"/>
      <c r="F2" s="61"/>
      <c r="G2" s="61"/>
      <c r="H2" s="61"/>
    </row>
    <row r="3" customFormat="false" ht="14.25" hidden="false" customHeight="true" outlineLevel="0" collapsed="false">
      <c r="A3" s="25"/>
      <c r="B3" s="25"/>
      <c r="C3" s="25"/>
      <c r="D3" s="25"/>
      <c r="E3" s="25"/>
      <c r="F3" s="25"/>
      <c r="G3" s="25"/>
      <c r="H3" s="25"/>
    </row>
    <row r="4" customFormat="false" ht="19.5" hidden="false" customHeight="true" outlineLevel="0" collapsed="false">
      <c r="A4" s="5" t="s">
        <v>153</v>
      </c>
      <c r="B4" s="5"/>
      <c r="C4" s="5"/>
      <c r="D4" s="5"/>
      <c r="E4" s="5"/>
      <c r="F4" s="5"/>
      <c r="G4" s="5"/>
      <c r="H4" s="5"/>
    </row>
    <row r="5" customFormat="false" ht="14.25" hidden="false" customHeight="true" outlineLevel="0" collapsed="false">
      <c r="A5" s="25"/>
      <c r="B5" s="6" t="s">
        <v>154</v>
      </c>
      <c r="C5" s="52" t="n">
        <f aca="false">'P&amp;L'!H7</f>
        <v>14998620.8851557</v>
      </c>
      <c r="D5" s="25"/>
      <c r="E5" s="25"/>
      <c r="F5" s="25"/>
      <c r="G5" s="25"/>
      <c r="H5" s="25"/>
    </row>
    <row r="6" customFormat="false" ht="14.25" hidden="false" customHeight="true" outlineLevel="0" collapsed="false">
      <c r="A6" s="25"/>
      <c r="B6" s="6" t="s">
        <v>80</v>
      </c>
      <c r="C6" s="62" t="n">
        <f aca="false">Assumptions!C60</f>
        <v>9</v>
      </c>
      <c r="D6" s="25"/>
      <c r="E6" s="25"/>
      <c r="F6" s="25"/>
      <c r="G6" s="25"/>
      <c r="H6" s="25"/>
    </row>
    <row r="7" customFormat="false" ht="14.25" hidden="false" customHeight="true" outlineLevel="0" collapsed="false">
      <c r="A7" s="25"/>
      <c r="B7" s="6" t="s">
        <v>155</v>
      </c>
      <c r="C7" s="63" t="n">
        <f aca="false">C5*C6</f>
        <v>134987587.966401</v>
      </c>
      <c r="D7" s="25"/>
      <c r="E7" s="25"/>
      <c r="F7" s="25"/>
      <c r="G7" s="25"/>
      <c r="H7" s="25"/>
    </row>
    <row r="8" customFormat="false" ht="14.25" hidden="false" customHeight="true" outlineLevel="0" collapsed="false">
      <c r="A8" s="25"/>
      <c r="B8" s="6" t="s">
        <v>156</v>
      </c>
      <c r="C8" s="63" t="n">
        <f aca="false">-Assumptions!C63</f>
        <v>-32152254.5933097</v>
      </c>
      <c r="D8" s="25"/>
      <c r="E8" s="25"/>
      <c r="F8" s="25"/>
      <c r="G8" s="25"/>
      <c r="H8" s="25"/>
    </row>
    <row r="9" customFormat="false" ht="14.25" hidden="false" customHeight="true" outlineLevel="0" collapsed="false">
      <c r="A9" s="25"/>
      <c r="B9" s="64" t="s">
        <v>157</v>
      </c>
      <c r="C9" s="65" t="n">
        <f aca="false">C7+C8</f>
        <v>102835333.373091</v>
      </c>
      <c r="D9" s="25"/>
      <c r="E9" s="25"/>
      <c r="F9" s="25"/>
      <c r="G9" s="25"/>
      <c r="H9" s="25"/>
    </row>
    <row r="10" customFormat="false" ht="14.25" hidden="false" customHeight="true" outlineLevel="0" collapsed="false">
      <c r="A10" s="25"/>
      <c r="B10" s="54"/>
      <c r="C10" s="55"/>
      <c r="D10" s="25"/>
      <c r="E10" s="25"/>
      <c r="F10" s="25"/>
      <c r="G10" s="25"/>
      <c r="H10" s="25"/>
    </row>
    <row r="11" customFormat="false" ht="14.25" hidden="false" customHeight="true" outlineLevel="0" collapsed="false">
      <c r="A11" s="5" t="s">
        <v>158</v>
      </c>
      <c r="B11" s="5"/>
      <c r="C11" s="5"/>
      <c r="D11" s="5"/>
      <c r="E11" s="5"/>
      <c r="F11" s="5"/>
      <c r="G11" s="5"/>
      <c r="H11" s="5"/>
    </row>
    <row r="12" customFormat="false" ht="19.5" hidden="false" customHeight="true" outlineLevel="0" collapsed="false">
      <c r="A12" s="28"/>
      <c r="B12" s="44" t="s">
        <v>159</v>
      </c>
      <c r="C12" s="25"/>
      <c r="D12" s="44" t="s">
        <v>160</v>
      </c>
      <c r="E12" s="25"/>
      <c r="F12" s="44" t="s">
        <v>161</v>
      </c>
      <c r="G12" s="25"/>
      <c r="H12" s="25"/>
    </row>
    <row r="13" customFormat="false" ht="14.25" hidden="false" customHeight="true" outlineLevel="0" collapsed="false">
      <c r="A13" s="25"/>
      <c r="B13" s="16" t="s">
        <v>162</v>
      </c>
      <c r="C13" s="57"/>
      <c r="D13" s="66" t="n">
        <f aca="false">Assumptions!C52</f>
        <v>0.25</v>
      </c>
      <c r="E13" s="57"/>
      <c r="F13" s="30" t="n">
        <f aca="false">$C$9*D13</f>
        <v>25708833.3432728</v>
      </c>
      <c r="G13" s="57"/>
      <c r="H13" s="57"/>
    </row>
    <row r="14" customFormat="false" ht="14.25" hidden="false" customHeight="true" outlineLevel="0" collapsed="false">
      <c r="A14" s="25"/>
      <c r="B14" s="16" t="s">
        <v>163</v>
      </c>
      <c r="C14" s="58"/>
      <c r="D14" s="66" t="n">
        <f aca="false">Assumptions!C53</f>
        <v>0.1</v>
      </c>
      <c r="E14" s="58"/>
      <c r="F14" s="30" t="n">
        <f aca="false">$C$9*D14</f>
        <v>10283533.3373091</v>
      </c>
      <c r="G14" s="58"/>
      <c r="H14" s="58"/>
    </row>
    <row r="15" customFormat="false" ht="14.25" hidden="false" customHeight="true" outlineLevel="0" collapsed="false">
      <c r="A15" s="25"/>
      <c r="B15" s="16" t="s">
        <v>164</v>
      </c>
      <c r="C15" s="58"/>
      <c r="D15" s="66" t="n">
        <f aca="false">Assumptions!C54</f>
        <v>0.125</v>
      </c>
      <c r="E15" s="58"/>
      <c r="F15" s="30" t="n">
        <f aca="false">$C$9*D15</f>
        <v>12854416.6716364</v>
      </c>
      <c r="G15" s="58"/>
      <c r="H15" s="58"/>
    </row>
    <row r="16" customFormat="false" ht="14.25" hidden="false" customHeight="true" outlineLevel="0" collapsed="false">
      <c r="A16" s="25"/>
      <c r="B16" s="16" t="s">
        <v>165</v>
      </c>
      <c r="C16" s="58"/>
      <c r="D16" s="66" t="n">
        <f aca="false">Assumptions!C55</f>
        <v>0.525</v>
      </c>
      <c r="E16" s="58"/>
      <c r="F16" s="30" t="n">
        <f aca="false">$C$9*D16</f>
        <v>53988550.0208729</v>
      </c>
      <c r="G16" s="58"/>
      <c r="H16" s="58"/>
    </row>
    <row r="17" customFormat="false" ht="14.25" hidden="false" customHeight="true" outlineLevel="0" collapsed="false">
      <c r="A17" s="25"/>
      <c r="B17" s="18" t="s">
        <v>166</v>
      </c>
      <c r="C17" s="58"/>
      <c r="D17" s="67" t="n">
        <f aca="false">SUM(D13:D16)</f>
        <v>1</v>
      </c>
      <c r="E17" s="58"/>
      <c r="F17" s="26" t="n">
        <f aca="false">SUM(F13:F16)</f>
        <v>102835333.373091</v>
      </c>
      <c r="G17" s="58"/>
      <c r="H17" s="58"/>
    </row>
    <row r="18" customFormat="false" ht="14.25" hidden="false" customHeight="true" outlineLevel="0" collapsed="false">
      <c r="A18" s="25"/>
      <c r="B18" s="25"/>
      <c r="C18" s="58"/>
      <c r="D18" s="58"/>
      <c r="E18" s="58"/>
      <c r="F18" s="58"/>
      <c r="G18" s="58"/>
      <c r="H18" s="58"/>
    </row>
    <row r="19" customFormat="false" ht="14.25" hidden="false" customHeight="true" outlineLevel="0" collapsed="false">
      <c r="A19" s="68" t="s">
        <v>167</v>
      </c>
      <c r="B19" s="68"/>
      <c r="C19" s="68"/>
      <c r="D19" s="68"/>
      <c r="E19" s="68"/>
      <c r="F19" s="68"/>
      <c r="G19" s="68"/>
      <c r="H19" s="68"/>
    </row>
    <row r="20" customFormat="false" ht="14.25" hidden="false" customHeight="true" outlineLevel="0" collapsed="false">
      <c r="A20" s="25"/>
      <c r="B20" s="69" t="s">
        <v>101</v>
      </c>
      <c r="C20" s="40" t="s">
        <v>47</v>
      </c>
      <c r="D20" s="40" t="s">
        <v>48</v>
      </c>
      <c r="E20" s="40" t="s">
        <v>49</v>
      </c>
      <c r="F20" s="40" t="s">
        <v>50</v>
      </c>
      <c r="G20" s="40" t="s">
        <v>51</v>
      </c>
      <c r="H20" s="40" t="s">
        <v>52</v>
      </c>
    </row>
    <row r="21" customFormat="false" ht="19.5" hidden="false" customHeight="true" outlineLevel="0" collapsed="false">
      <c r="A21" s="28"/>
      <c r="B21" s="32" t="s">
        <v>168</v>
      </c>
      <c r="C21" s="37" t="n">
        <f aca="false">-Assumptions!C33</f>
        <v>-10000000</v>
      </c>
      <c r="D21" s="37" t="n">
        <v>0</v>
      </c>
      <c r="E21" s="37" t="n">
        <f aca="false">Assumptions!C33*Assumptions!C46</f>
        <v>1000000</v>
      </c>
      <c r="F21" s="37" t="n">
        <f aca="false">Assumptions!C33*Assumptions!C46</f>
        <v>1000000</v>
      </c>
      <c r="G21" s="37" t="n">
        <f aca="false">Assumptions!C33*Assumptions!C46</f>
        <v>1000000</v>
      </c>
      <c r="H21" s="37" t="n">
        <f aca="false">Assumptions!C33*Assumptions!C46*2+F13</f>
        <v>27708833.3432728</v>
      </c>
    </row>
    <row r="22" customFormat="false" ht="14.25" hidden="false" customHeight="true" outlineLevel="0" collapsed="false">
      <c r="A22" s="25"/>
      <c r="B22" s="70" t="s">
        <v>169</v>
      </c>
      <c r="C22" s="63" t="n">
        <f aca="false">-Assumptions!C34</f>
        <v>-10000000</v>
      </c>
      <c r="D22" s="37" t="n">
        <v>0</v>
      </c>
      <c r="E22" s="37" t="n">
        <f aca="false">Assumptions!C34*Assumptions!C46</f>
        <v>1000000</v>
      </c>
      <c r="F22" s="37" t="n">
        <f aca="false">Assumptions!C34*Assumptions!C46</f>
        <v>1000000</v>
      </c>
      <c r="G22" s="37" t="n">
        <f aca="false">Assumptions!C34*Assumptions!C46</f>
        <v>1000000</v>
      </c>
      <c r="H22" s="37" t="n">
        <f aca="false">Assumptions!C34*Assumptions!C46*2+F14</f>
        <v>12283533.3373091</v>
      </c>
    </row>
    <row r="23" customFormat="false" ht="14.25" hidden="false" customHeight="true" outlineLevel="0" collapsed="false">
      <c r="A23" s="25"/>
      <c r="B23" s="70" t="s">
        <v>170</v>
      </c>
      <c r="C23" s="63" t="n">
        <f aca="false">-Assumptions!C35</f>
        <v>-5000000</v>
      </c>
      <c r="D23" s="37" t="n">
        <v>0</v>
      </c>
      <c r="E23" s="37" t="n">
        <v>0</v>
      </c>
      <c r="F23" s="37" t="n">
        <v>0</v>
      </c>
      <c r="G23" s="37" t="n">
        <v>0</v>
      </c>
      <c r="H23" s="37" t="n">
        <f aca="false">F15</f>
        <v>12854416.6716364</v>
      </c>
    </row>
    <row r="24" customFormat="false" ht="14.25" hidden="false" customHeight="true" outlineLevel="0" collapsed="false">
      <c r="A24" s="25"/>
      <c r="B24" s="71" t="s">
        <v>171</v>
      </c>
      <c r="C24" s="63" t="n">
        <f aca="false">C21+C22+C23</f>
        <v>-25000000</v>
      </c>
      <c r="D24" s="37" t="n">
        <f aca="false">D21+D22+D23</f>
        <v>0</v>
      </c>
      <c r="E24" s="37" t="n">
        <f aca="false">E21+E22+E23</f>
        <v>2000000</v>
      </c>
      <c r="F24" s="37" t="n">
        <f aca="false">F21+F22+F23</f>
        <v>2000000</v>
      </c>
      <c r="G24" s="37" t="n">
        <f aca="false">G21+G22+G23</f>
        <v>2000000</v>
      </c>
      <c r="H24" s="37" t="n">
        <f aca="false">H21+H22+H23</f>
        <v>52846783.3522183</v>
      </c>
    </row>
    <row r="25" customFormat="false" ht="14.25" hidden="false" customHeight="true" outlineLevel="0" collapsed="false">
      <c r="A25" s="25"/>
      <c r="B25" s="54"/>
      <c r="C25" s="55"/>
      <c r="D25" s="72"/>
      <c r="E25" s="72"/>
      <c r="F25" s="72"/>
      <c r="G25" s="72"/>
      <c r="H25" s="72"/>
    </row>
    <row r="26" customFormat="false" ht="14.25" hidden="false" customHeight="true" outlineLevel="0" collapsed="false">
      <c r="A26" s="5" t="s">
        <v>172</v>
      </c>
      <c r="B26" s="5"/>
      <c r="C26" s="5"/>
      <c r="D26" s="5"/>
      <c r="E26" s="5"/>
      <c r="F26" s="5"/>
      <c r="G26" s="5"/>
      <c r="H26" s="5"/>
    </row>
    <row r="27" customFormat="false" ht="14.25" hidden="false" customHeight="true" outlineLevel="0" collapsed="false">
      <c r="A27" s="73"/>
      <c r="B27" s="32" t="s">
        <v>173</v>
      </c>
      <c r="C27" s="33" t="n">
        <f aca="false">IRR(C21:H21)</f>
        <v>0.266709663756066</v>
      </c>
      <c r="D27" s="74" t="n">
        <f aca="false">SUM(D21:H21)/-C21</f>
        <v>3.07088333432728</v>
      </c>
      <c r="E27" s="75"/>
      <c r="F27" s="75"/>
      <c r="G27" s="75"/>
      <c r="H27" s="75"/>
    </row>
    <row r="28" customFormat="false" ht="14.25" hidden="false" customHeight="true" outlineLevel="0" collapsed="false">
      <c r="A28" s="75"/>
      <c r="B28" s="32" t="s">
        <v>174</v>
      </c>
      <c r="C28" s="33" t="n">
        <f aca="false">IRR(C22:H22)</f>
        <v>0.0972651212255064</v>
      </c>
      <c r="D28" s="74" t="n">
        <f aca="false">SUM(D22:H22)/-C22</f>
        <v>1.52835333373091</v>
      </c>
      <c r="E28" s="76"/>
      <c r="F28" s="76"/>
      <c r="G28" s="76"/>
      <c r="H28" s="76"/>
    </row>
    <row r="29" customFormat="false" ht="14.25" hidden="false" customHeight="true" outlineLevel="0" collapsed="false">
      <c r="A29" s="75"/>
      <c r="B29" s="32" t="s">
        <v>175</v>
      </c>
      <c r="C29" s="33" t="n">
        <f aca="false">IRR(C23:H23)</f>
        <v>0.207859651151753</v>
      </c>
      <c r="D29" s="74" t="n">
        <f aca="false">SUM(D23:H23)/-C23</f>
        <v>2.57088333432728</v>
      </c>
      <c r="E29" s="72"/>
      <c r="F29" s="72"/>
      <c r="G29" s="72"/>
      <c r="H29" s="72"/>
    </row>
    <row r="30" customFormat="false" ht="14.25" hidden="false" customHeight="true" outlineLevel="0" collapsed="false">
      <c r="A30" s="75"/>
      <c r="B30" s="77" t="s">
        <v>176</v>
      </c>
      <c r="C30" s="33" t="n">
        <f aca="false">IRR(C24:H24)</f>
        <v>0.197423625889318</v>
      </c>
      <c r="D30" s="74" t="n">
        <f aca="false">SUM(D24:H24)/-C24</f>
        <v>2.35387133408873</v>
      </c>
      <c r="E30" s="72"/>
      <c r="F30" s="72"/>
      <c r="G30" s="72"/>
      <c r="H30" s="72"/>
    </row>
    <row r="31" customFormat="false" ht="14.25" hidden="false" customHeight="false" outlineLevel="0" collapsed="false">
      <c r="A31" s="75"/>
      <c r="B31" s="32" t="s">
        <v>177</v>
      </c>
      <c r="C31" s="37" t="n">
        <f aca="false">F16</f>
        <v>53988550.0208729</v>
      </c>
      <c r="D31" s="75"/>
      <c r="E31" s="75"/>
      <c r="F31" s="75"/>
      <c r="G31" s="75"/>
      <c r="H31" s="75"/>
    </row>
    <row r="32" customFormat="false" ht="14.25" hidden="false" customHeight="true" outlineLevel="0" collapsed="false">
      <c r="A32" s="73"/>
      <c r="B32" s="32" t="s">
        <v>178</v>
      </c>
      <c r="C32" s="37" t="n">
        <f aca="false">(Assumptions!C33+Assumptions!C34)*Assumptions!C46*5</f>
        <v>10000000</v>
      </c>
      <c r="D32" s="75"/>
      <c r="E32" s="75"/>
      <c r="F32" s="75"/>
      <c r="G32" s="75"/>
      <c r="H32" s="75"/>
    </row>
    <row r="33" customFormat="false" ht="14.25" hidden="false" customHeight="true" outlineLevel="0" collapsed="false">
      <c r="A33" s="75"/>
      <c r="B33" s="78" t="s">
        <v>179</v>
      </c>
      <c r="C33" s="78"/>
      <c r="D33" s="78"/>
      <c r="E33" s="78"/>
      <c r="F33" s="78"/>
      <c r="G33" s="78"/>
      <c r="H33" s="78"/>
    </row>
    <row r="34" customFormat="false" ht="14.25" hidden="false" customHeight="true" outlineLevel="0" collapsed="false">
      <c r="A34" s="75"/>
      <c r="B34" s="25"/>
      <c r="C34" s="72"/>
      <c r="D34" s="75"/>
      <c r="E34" s="75"/>
      <c r="F34" s="75"/>
      <c r="G34" s="75"/>
      <c r="H34" s="75"/>
    </row>
    <row r="35" customFormat="false" ht="14.25" hidden="false" customHeight="true" outlineLevel="0" collapsed="false">
      <c r="A35" s="75"/>
      <c r="B35" s="25"/>
      <c r="C35" s="72"/>
      <c r="D35" s="75"/>
      <c r="E35" s="75"/>
      <c r="F35" s="75"/>
      <c r="G35" s="75"/>
      <c r="H35" s="75"/>
    </row>
    <row r="36" customFormat="false" ht="14.25" hidden="false" customHeight="true" outlineLevel="0" collapsed="false">
      <c r="A36" s="75"/>
      <c r="B36" s="25"/>
      <c r="C36" s="72"/>
      <c r="D36" s="75"/>
      <c r="E36" s="75"/>
      <c r="F36" s="75"/>
      <c r="G36" s="75"/>
      <c r="H36" s="75"/>
    </row>
    <row r="37" customFormat="false" ht="14.25" hidden="false" customHeight="true" outlineLevel="0" collapsed="false">
      <c r="A37" s="75"/>
      <c r="B37" s="25"/>
      <c r="C37" s="72"/>
      <c r="D37" s="75"/>
      <c r="E37" s="75"/>
      <c r="F37" s="75"/>
      <c r="G37" s="75"/>
      <c r="H37" s="75"/>
    </row>
    <row r="38" customFormat="false" ht="14.25" hidden="false" customHeight="true" outlineLevel="0" collapsed="false">
      <c r="A38" s="75"/>
      <c r="B38" s="25"/>
      <c r="C38" s="72"/>
      <c r="D38" s="75"/>
      <c r="E38" s="75"/>
      <c r="F38" s="75"/>
      <c r="G38" s="75"/>
      <c r="H38" s="75"/>
    </row>
    <row r="39" customFormat="false" ht="14.25" hidden="false" customHeight="true" outlineLevel="0" collapsed="false">
      <c r="A39" s="75"/>
      <c r="B39" s="25"/>
      <c r="C39" s="72"/>
      <c r="D39" s="75"/>
      <c r="E39" s="75"/>
      <c r="F39" s="75"/>
      <c r="G39" s="75"/>
      <c r="H39" s="75"/>
    </row>
    <row r="40" customFormat="false" ht="14.25" hidden="false" customHeight="true" outlineLevel="0" collapsed="false">
      <c r="A40" s="75"/>
      <c r="B40" s="25"/>
      <c r="C40" s="72"/>
      <c r="D40" s="75"/>
      <c r="E40" s="75"/>
      <c r="F40" s="75"/>
      <c r="G40" s="75"/>
      <c r="H40" s="75"/>
    </row>
  </sheetData>
  <mergeCells count="7">
    <mergeCell ref="B1:H1"/>
    <mergeCell ref="B2:H2"/>
    <mergeCell ref="A4:H4"/>
    <mergeCell ref="A11:H11"/>
    <mergeCell ref="A19:H19"/>
    <mergeCell ref="A26:H26"/>
    <mergeCell ref="B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8" min="3" style="1" width="16"/>
  </cols>
  <sheetData>
    <row r="1" customFormat="false" ht="18" hidden="false" customHeight="true" outlineLevel="0" collapsed="false">
      <c r="A1" s="25"/>
      <c r="B1" s="13" t="s">
        <v>180</v>
      </c>
      <c r="C1" s="25"/>
      <c r="D1" s="25"/>
      <c r="E1" s="25"/>
      <c r="F1" s="25"/>
      <c r="G1" s="25"/>
      <c r="H1" s="25"/>
    </row>
    <row r="2" customFormat="false" ht="14.25" hidden="false" customHeight="true" outlineLevel="0" collapsed="false">
      <c r="A2" s="25"/>
      <c r="B2" s="79" t="s">
        <v>181</v>
      </c>
      <c r="C2" s="25"/>
      <c r="D2" s="25"/>
      <c r="E2" s="25"/>
      <c r="F2" s="25"/>
      <c r="G2" s="25"/>
      <c r="H2" s="25"/>
    </row>
    <row r="3" customFormat="false" ht="14.25" hidden="false" customHeight="true" outlineLevel="0" collapsed="false">
      <c r="A3" s="25"/>
      <c r="B3" s="25"/>
      <c r="C3" s="25"/>
      <c r="D3" s="25"/>
      <c r="E3" s="25"/>
      <c r="F3" s="25"/>
      <c r="G3" s="25"/>
      <c r="H3" s="25"/>
    </row>
    <row r="4" customFormat="false" ht="19.5" hidden="false" customHeight="true" outlineLevel="0" collapsed="false">
      <c r="A4" s="24" t="s">
        <v>182</v>
      </c>
      <c r="B4" s="25"/>
      <c r="C4" s="25"/>
      <c r="D4" s="25"/>
      <c r="E4" s="25"/>
      <c r="F4" s="25"/>
      <c r="G4" s="25"/>
      <c r="H4" s="25"/>
    </row>
    <row r="5" customFormat="false" ht="14.25" hidden="false" customHeight="true" outlineLevel="0" collapsed="false">
      <c r="A5" s="25"/>
      <c r="B5" s="16" t="s">
        <v>80</v>
      </c>
      <c r="C5" s="80" t="n">
        <v>7</v>
      </c>
      <c r="D5" s="80" t="n">
        <v>7.5</v>
      </c>
      <c r="E5" s="80" t="n">
        <v>8</v>
      </c>
      <c r="F5" s="80" t="n">
        <v>8.5</v>
      </c>
      <c r="G5" s="80" t="n">
        <v>9</v>
      </c>
      <c r="H5" s="80" t="n">
        <v>9.5</v>
      </c>
    </row>
    <row r="6" customFormat="false" ht="14.25" hidden="false" customHeight="true" outlineLevel="0" collapsed="false">
      <c r="A6" s="25"/>
      <c r="B6" s="16" t="s">
        <v>157</v>
      </c>
      <c r="C6" s="30" t="n">
        <f aca="false">'P&amp;L'!$H$7*C$5-Assumptions!C63</f>
        <v>72838091.6027799</v>
      </c>
      <c r="D6" s="30" t="n">
        <f aca="false">'P&amp;L'!$H$7*D$5-Assumptions!C63</f>
        <v>80337402.0453577</v>
      </c>
      <c r="E6" s="30" t="n">
        <f aca="false">'P&amp;L'!$H$7*E$5-Assumptions!C63</f>
        <v>87836712.4879356</v>
      </c>
      <c r="F6" s="30" t="n">
        <f aca="false">'P&amp;L'!$H$7*F$5-Assumptions!C63</f>
        <v>95336022.9305134</v>
      </c>
      <c r="G6" s="30" t="n">
        <f aca="false">'P&amp;L'!$H$7*G$5-Assumptions!C63</f>
        <v>102835333.373091</v>
      </c>
      <c r="H6" s="30" t="n">
        <f aca="false">'P&amp;L'!$H$7*H$5-Assumptions!C63</f>
        <v>110334643.815669</v>
      </c>
    </row>
    <row r="7" customFormat="false" ht="14.25" hidden="false" customHeight="true" outlineLevel="0" collapsed="false">
      <c r="A7" s="25"/>
      <c r="B7" s="16" t="s">
        <v>183</v>
      </c>
      <c r="C7" s="30" t="n">
        <f aca="false">C6*(Assumptions!C52+Assumptions!C53+Assumptions!C54)</f>
        <v>34598093.5113205</v>
      </c>
      <c r="D7" s="30" t="n">
        <f aca="false">D6*(Assumptions!C52+Assumptions!C53+Assumptions!C54)</f>
        <v>38160265.9715449</v>
      </c>
      <c r="E7" s="30" t="n">
        <f aca="false">E6*(Assumptions!C52+Assumptions!C53+Assumptions!C54)</f>
        <v>41722438.4317694</v>
      </c>
      <c r="F7" s="30" t="n">
        <f aca="false">F6*(Assumptions!C52+Assumptions!C53+Assumptions!C54)</f>
        <v>45284610.8919939</v>
      </c>
      <c r="G7" s="30" t="n">
        <f aca="false">G6*(Assumptions!C52+Assumptions!C53+Assumptions!C54)</f>
        <v>48846783.3522183</v>
      </c>
      <c r="H7" s="30" t="n">
        <f aca="false">H6*(Assumptions!C52+Assumptions!C53+Assumptions!C54)</f>
        <v>52408955.8124428</v>
      </c>
    </row>
    <row r="8" customFormat="false" ht="14.25" hidden="false" customHeight="true" outlineLevel="0" collapsed="false">
      <c r="A8" s="25"/>
      <c r="B8" s="18" t="s">
        <v>184</v>
      </c>
      <c r="C8" s="81" t="n">
        <f aca="false">((Assumptions!C33+Assumptions!C34)*Assumptions!C46*5+C7)/(Assumptions!C33+Assumptions!C34+Assumptions!C35)</f>
        <v>1.78392374045282</v>
      </c>
      <c r="D8" s="81" t="n">
        <f aca="false">((Assumptions!C33+Assumptions!C34)*Assumptions!C46*5+D7)/(Assumptions!C33+Assumptions!C34+Assumptions!C35)</f>
        <v>1.9264106388618</v>
      </c>
      <c r="E8" s="81" t="n">
        <f aca="false">((Assumptions!C33+Assumptions!C34)*Assumptions!C46*5+E7)/(Assumptions!C33+Assumptions!C34+Assumptions!C35)</f>
        <v>2.06889753727078</v>
      </c>
      <c r="F8" s="81" t="n">
        <f aca="false">((Assumptions!C33+Assumptions!C34)*Assumptions!C46*5+F7)/(Assumptions!C33+Assumptions!C34+Assumptions!C35)</f>
        <v>2.21138443567975</v>
      </c>
      <c r="G8" s="81" t="n">
        <f aca="false">((Assumptions!C33+Assumptions!C34)*Assumptions!C46*5+G7)/(Assumptions!C33+Assumptions!C34+Assumptions!C35)</f>
        <v>2.35387133408873</v>
      </c>
      <c r="H8" s="81" t="n">
        <f aca="false">((Assumptions!C33+Assumptions!C34)*Assumptions!C46*5+H7)/(Assumptions!C33+Assumptions!C34+Assumptions!C35)</f>
        <v>2.49635823249771</v>
      </c>
    </row>
    <row r="9" customFormat="false" ht="14.25" hidden="false" customHeight="true" outlineLevel="0" collapsed="false">
      <c r="A9" s="25"/>
      <c r="B9" s="25"/>
      <c r="C9" s="25"/>
      <c r="D9" s="25"/>
      <c r="E9" s="25"/>
      <c r="F9" s="25"/>
      <c r="G9" s="25"/>
      <c r="H9" s="25"/>
    </row>
    <row r="10" customFormat="false" ht="19.5" hidden="false" customHeight="true" outlineLevel="0" collapsed="false">
      <c r="A10" s="24" t="s">
        <v>185</v>
      </c>
      <c r="B10" s="25"/>
      <c r="C10" s="25"/>
      <c r="D10" s="25"/>
      <c r="E10" s="25"/>
      <c r="F10" s="25"/>
      <c r="G10" s="25"/>
      <c r="H10" s="25"/>
    </row>
    <row r="11" customFormat="false" ht="27.75" hidden="false" customHeight="true" outlineLevel="0" collapsed="false">
      <c r="A11" s="25"/>
      <c r="B11" s="44" t="s">
        <v>186</v>
      </c>
      <c r="C11" s="82" t="s">
        <v>187</v>
      </c>
      <c r="D11" s="82" t="s">
        <v>188</v>
      </c>
      <c r="E11" s="82" t="s">
        <v>189</v>
      </c>
      <c r="F11" s="82" t="s">
        <v>190</v>
      </c>
      <c r="G11" s="82" t="s">
        <v>191</v>
      </c>
      <c r="H11" s="25"/>
    </row>
    <row r="12" customFormat="false" ht="14.25" hidden="false" customHeight="true" outlineLevel="0" collapsed="false">
      <c r="A12" s="25"/>
      <c r="B12" s="83" t="s">
        <v>192</v>
      </c>
      <c r="C12" s="19" t="n">
        <v>0.35</v>
      </c>
      <c r="D12" s="80" t="n">
        <v>7</v>
      </c>
      <c r="E12" s="30" t="n">
        <f aca="false">'P&amp;L'!H7</f>
        <v>14998620.8851557</v>
      </c>
      <c r="F12" s="30" t="n">
        <f aca="false">(E12*D12-Assumptions!C63)*(Assumptions!C52+Assumptions!C53+Assumptions!C54)</f>
        <v>34598093.5113205</v>
      </c>
      <c r="G12" s="84" t="n">
        <f aca="false">((Assumptions!C33+Assumptions!C34)*Assumptions!C46*5+F12)/(Assumptions!C33+Assumptions!C34+Assumptions!C35)</f>
        <v>1.78392374045282</v>
      </c>
      <c r="H12" s="25"/>
    </row>
    <row r="13" customFormat="false" ht="14.25" hidden="false" customHeight="true" outlineLevel="0" collapsed="false">
      <c r="A13" s="25"/>
      <c r="B13" s="83" t="s">
        <v>193</v>
      </c>
      <c r="C13" s="19" t="n">
        <v>0.379</v>
      </c>
      <c r="D13" s="80" t="n">
        <v>9</v>
      </c>
      <c r="E13" s="30" t="n">
        <f aca="false">'P&amp;L'!H7</f>
        <v>14998620.8851557</v>
      </c>
      <c r="F13" s="30" t="n">
        <f aca="false">(E13*D13-Assumptions!C63)*(Assumptions!C52+Assumptions!C53+Assumptions!C54)</f>
        <v>48846783.3522183</v>
      </c>
      <c r="G13" s="84" t="n">
        <f aca="false">((Assumptions!C33+Assumptions!C34)*Assumptions!C46*5+F13)/(Assumptions!C33+Assumptions!C34+Assumptions!C35)</f>
        <v>2.35387133408873</v>
      </c>
      <c r="H13" s="25"/>
    </row>
    <row r="14" customFormat="false" ht="14.25" hidden="false" customHeight="true" outlineLevel="0" collapsed="false">
      <c r="A14" s="25"/>
      <c r="B14" s="83" t="s">
        <v>194</v>
      </c>
      <c r="C14" s="19" t="n">
        <v>0.5</v>
      </c>
      <c r="D14" s="80" t="n">
        <v>10</v>
      </c>
      <c r="E14" s="30" t="n">
        <f aca="false">'P&amp;L'!H7</f>
        <v>14998620.8851557</v>
      </c>
      <c r="F14" s="30" t="n">
        <f aca="false">(E14*D14-Assumptions!C63)*(Assumptions!C52+Assumptions!C53+Assumptions!C54)</f>
        <v>55971128.2726673</v>
      </c>
      <c r="G14" s="84" t="n">
        <f aca="false">((Assumptions!C33+Assumptions!C34)*Assumptions!C46*5+F14)/(Assumptions!C33+Assumptions!C34+Assumptions!C35)</f>
        <v>2.63884513090669</v>
      </c>
      <c r="H14" s="25"/>
    </row>
    <row r="15" customFormat="false" ht="14.25" hidden="false" customHeight="true" outlineLevel="0" collapsed="false">
      <c r="A15" s="25"/>
      <c r="B15" s="25"/>
      <c r="C15" s="25"/>
      <c r="D15" s="25"/>
      <c r="E15" s="25"/>
      <c r="F15" s="25"/>
      <c r="G15" s="25"/>
      <c r="H15" s="25"/>
    </row>
    <row r="16" customFormat="false" ht="15" hidden="false" customHeight="true" outlineLevel="0" collapsed="false">
      <c r="A16" s="25"/>
      <c r="B16" s="85" t="s">
        <v>195</v>
      </c>
      <c r="C16" s="85"/>
      <c r="D16" s="85"/>
      <c r="E16" s="85"/>
      <c r="F16" s="85"/>
      <c r="G16" s="85"/>
      <c r="H16" s="85"/>
    </row>
  </sheetData>
  <mergeCells count="1">
    <mergeCell ref="B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CB5E477540964E8F626A688AAD728E" ma:contentTypeVersion="14" ma:contentTypeDescription="Crée un document." ma:contentTypeScope="" ma:versionID="783c9195e37f3805fe85f96cffea05a9">
  <xsd:schema xmlns:xsd="http://www.w3.org/2001/XMLSchema" xmlns:xs="http://www.w3.org/2001/XMLSchema" xmlns:p="http://schemas.microsoft.com/office/2006/metadata/properties" xmlns:ns2="234de5ca-b4f8-4058-b9f6-459763652aff" xmlns:ns3="835f4433-dd77-4c52-bb0b-bde5e23e02d4" targetNamespace="http://schemas.microsoft.com/office/2006/metadata/properties" ma:root="true" ma:fieldsID="f78b66bacb2742edbb2da3a188ee40ab" ns2:_="" ns3:_="">
    <xsd:import namespace="234de5ca-b4f8-4058-b9f6-459763652aff"/>
    <xsd:import namespace="835f4433-dd77-4c52-bb0b-bde5e23e02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4de5ca-b4f8-4058-b9f6-459763652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fae1480b-bd3f-4ba3-909e-28113204a62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5f4433-dd77-4c52-bb0b-bde5e23e02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7d96b5-36a5-4f4d-ab1c-87f745630bd6}" ma:internalName="TaxCatchAll" ma:showField="CatchAllData" ma:web="835f4433-dd77-4c52-bb0b-bde5e23e02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35f4433-dd77-4c52-bb0b-bde5e23e02d4" xsi:nil="true"/>
    <lcf76f155ced4ddcb4097134ff3c332f xmlns="234de5ca-b4f8-4058-b9f6-459763652af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DF5C77-99E1-4B79-9733-447757FF89A0}"/>
</file>

<file path=customXml/itemProps2.xml><?xml version="1.0" encoding="utf-8"?>
<ds:datastoreItem xmlns:ds="http://schemas.openxmlformats.org/officeDocument/2006/customXml" ds:itemID="{FA94869B-03DC-4922-8827-7D3722FBAE9E}"/>
</file>

<file path=customXml/itemProps3.xml><?xml version="1.0" encoding="utf-8"?>
<ds:datastoreItem xmlns:ds="http://schemas.openxmlformats.org/officeDocument/2006/customXml" ds:itemID="{DC1887BF-B0F5-4F3C-B3F0-F1E24F474FEE}"/>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Bertrand Quentin</cp:lastModifiedBy>
  <cp:revision>0</cp:revision>
  <dcterms:created xsi:type="dcterms:W3CDTF">2026-06-15T16:14:45Z</dcterms:created>
  <dcterms:modified xsi:type="dcterms:W3CDTF">2026-07-16T21:32:29Z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0x010100F1CB5E477540964E8F626A688AAD728E</vt:lpwstr>
  </property>
  <property fmtid="{D5CDD505-2E9C-101B-9397-08002B2CF9AE}" pid="3" name="MediaServiceImageTags">
    <vt:lpwstr/>
  </property>
</Properties>
</file>